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 activeTab="1"/>
  </bookViews>
  <sheets>
    <sheet name="Sheet1" sheetId="2" r:id="rId1"/>
    <sheet name="Excel_jumia (1)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<sst xmlns="http://schemas.openxmlformats.org/spreadsheetml/2006/main" count="461" uniqueCount="132">
  <si>
    <t>Product</t>
  </si>
  <si>
    <t>Current price</t>
  </si>
  <si>
    <t>old price</t>
  </si>
  <si>
    <t>Discount</t>
  </si>
  <si>
    <t>Review</t>
  </si>
  <si>
    <t>Ratingd</t>
  </si>
  <si>
    <t>Discount Amount(Ksh)</t>
  </si>
  <si>
    <t>Rating category</t>
  </si>
  <si>
    <t>Discount category</t>
  </si>
  <si>
    <t>115  Piece Set Of Multifunctional Precision Screwdrivers</t>
  </si>
  <si>
    <t>Metal Decorative Hooks Key Hangers Entryway Wall Hooks Towel Hooks  Home</t>
  </si>
  <si>
    <t>Portable Mini Cordless Car Vacuum Cleaner  Blue</t>
  </si>
  <si>
    <t>Weighing Scale Digital Bathroom Body Fat Scale USBBlack</t>
  </si>
  <si>
    <t>Portable Home Small Air Humidifier 3Speed Fan  Green</t>
  </si>
  <si>
    <t>220V 60W Electric Soldering Iron Kits With Tools Tips And Multimeter</t>
  </si>
  <si>
    <t>137 Pieces Cake Decorating Tool Set Baking Supplies</t>
  </si>
  <si>
    <t>Desk Foldable Fan Adjustable Fan Strong Wind 3 Gear Usb</t>
  </si>
  <si>
    <t>LASA FOLDING TABLE SERVING STAND</t>
  </si>
  <si>
    <t>13 In 1 Home Repair Tools Box Kit Set</t>
  </si>
  <si>
    <t>Genebre 115 In 1 Screwdriver Repairing Tool Set For IPhone Cellphone Hand Tool</t>
  </si>
  <si>
    <t>100 Pcs Crochet Hook Tool Set Knitting Hook Set With Box</t>
  </si>
  <si>
    <t>40cm Gold DIY Acrylic Wall Sticker Clock</t>
  </si>
  <si>
    <t>LASA Digital Thermometer And Hydrometer</t>
  </si>
  <si>
    <t>Multifunction Laser Level With Adjustment Tripod</t>
  </si>
  <si>
    <t>AntiSkid Absorbent Insulation Coaster  For Home Office</t>
  </si>
  <si>
    <t>Peacock  Throw Pillow Cushion Case For Home Car</t>
  </si>
  <si>
    <t>LASA Aluminum Folding Truck Hand Cart  68kg Max</t>
  </si>
  <si>
    <t>LED Wall Digital Alarm Clock Study Home 12 / 24H Clock Calendar</t>
  </si>
  <si>
    <t>3D Waterproof EVA Plastic Shower Curtain 1.8*2Mtrs</t>
  </si>
  <si>
    <t>3PCS Single Head Knitting Crochet Sweater Needle Set</t>
  </si>
  <si>
    <t>4pcs Bathroom/Kitchen Towel RackRoll Paper HolderTowel BarsHook</t>
  </si>
  <si>
    <t>N/A</t>
  </si>
  <si>
    <t>LED Romantic Spaceship Starry Sky ProjectorChildren's Bedroom Night LightBlue</t>
  </si>
  <si>
    <t>Foldable Overbed Table/Desk</t>
  </si>
  <si>
    <t>LASA 3 Tier Bamboo Shoe Bench Storage Shelf</t>
  </si>
  <si>
    <t>Electronic Digital Display Vernier Caliper</t>
  </si>
  <si>
    <t>Portable Wardrobe Nonwoven With 3 Hanging Rods And 6 Storage Shelves</t>
  </si>
  <si>
    <t>12 Litre Black Insulated Lunch Box</t>
  </si>
  <si>
    <t>52 Pieces Cake Decorating Tool Set Gift Kit Baking Supplies</t>
  </si>
  <si>
    <t>MultiFunctional Storage Rack Multilayer Booelf</t>
  </si>
  <si>
    <t>Exfoliate And Exfoliate Face Towel  Black</t>
  </si>
  <si>
    <t>12 Litre Insulated Lunch Box Grey</t>
  </si>
  <si>
    <t>LED Eye Protection  Desk Lamp  Study Reading USB Fan  Double Pen Holder</t>
  </si>
  <si>
    <t>53Pcs/Set Yarn Knitting Crochet Hooks With Bag  Fortune Cat</t>
  </si>
  <si>
    <t>53 Pieces/Set Yarn Knitting Crochet Hooks With Bag  Pansies</t>
  </si>
  <si>
    <t>DIY File Folder Office Drawer File Holder Pen Holder Desktop Storage Rack</t>
  </si>
  <si>
    <t>Classic Black Cat Cotton Hemp Pillow Case For Home Car</t>
  </si>
  <si>
    <t>Punchfree Great Load Bearing Bathroom Storage Rack Wall ShelfWhite</t>
  </si>
  <si>
    <t>1/2/3 Seater Elastic Sofa CoverLiving Room/Home Decor Chair CoverGrey</t>
  </si>
  <si>
    <t xml:space="preserve"> 1620   1980</t>
  </si>
  <si>
    <t xml:space="preserve"> 2200   3200</t>
  </si>
  <si>
    <t>LASA Stainless Steel Double Wall Mount Soap Dispenser  500ml</t>
  </si>
  <si>
    <t>4M Float Switch Water Level Controller Water Tank</t>
  </si>
  <si>
    <t>Modern Sofa Throw Pillow Cover45x45cmBlue&amp;Red</t>
  </si>
  <si>
    <t>Balloon Insert Birthday Party Balloon Set PU Leather</t>
  </si>
  <si>
    <t>Shower Cap Wide Elastic Band Cover Reusable Bashroom Cap</t>
  </si>
  <si>
    <t>Christmas Elk Fence Yard Lawn Decorations Cute For Holidays</t>
  </si>
  <si>
    <t>60W Hot Melt Glue Sprayer  Efficient And Stable Glue Dispensing</t>
  </si>
  <si>
    <t>Car Phone Charging Stand</t>
  </si>
  <si>
    <t>2pcs Solar Street Light Flood Light Outdoor</t>
  </si>
  <si>
    <t>Creative Owl Shape Keychain Black</t>
  </si>
  <si>
    <t>Brush &amp; Paintbrush Cleaning Tool Pink</t>
  </si>
  <si>
    <t>Pen Grips For Kids Pen Grip Posture Correction Tool For Kids</t>
  </si>
  <si>
    <t>Pilates Cloth Bag Waterproof Durable High Capacity Purple</t>
  </si>
  <si>
    <t>Multipurpose Rice Drainage Basket And Fruit And Vegetable Drainage Sieve</t>
  </si>
  <si>
    <t>Cute Christmas Fence Garden Decorations For Holiday Home</t>
  </si>
  <si>
    <t>Simple Metal Dog Art Sculpture Decoration For Home Office</t>
  </si>
  <si>
    <t>Christmas Fence Garden Decorations Outdoor For Holiday Home</t>
  </si>
  <si>
    <t>Angle Measuring Tool Full Metal Multi Angle Measuring Tool</t>
  </si>
  <si>
    <t>12V 19500rpm Handheld Electric Angle Grinder Tool  UK  Yellow/Black</t>
  </si>
  <si>
    <t>5 Pieces/set Of Stainless Steel Induction Cooker Pots</t>
  </si>
  <si>
    <t>Mythco 120COB Solar Wall Ligt With Motion Sensor And Remote Control 3 Modes</t>
  </si>
  <si>
    <t>5PCS Stainless Steel Cooking Pot Set With Steamed Slices</t>
  </si>
  <si>
    <t>120W Cordless Vacuum Cleaners Handheld Electric Vacuum Cleaner</t>
  </si>
  <si>
    <t>Intelligent  LED Body Sensor Wireless Lighting Night Light USB</t>
  </si>
  <si>
    <t>VIC Wireless Vacuum Cleaner Dual Use For Home And Car 120W High Power Powerful</t>
  </si>
  <si>
    <t>Artificial Potted Flowers Room Decorative Flowers (2 Pieces)</t>
  </si>
  <si>
    <t>380ML USB Rechargeable Portable Small Blenders And Juicers</t>
  </si>
  <si>
    <t>32PCS Portable Cordless Drill Set With Cyclic Battery Drive 26 Variable Speed</t>
  </si>
  <si>
    <t>Agapeon Toothbrush Holder And Toothpaste Dispenser</t>
  </si>
  <si>
    <t>Large Lazy Inflatable Sofa Chairs PVC Lounger Seat Bag</t>
  </si>
  <si>
    <t>Watercolour Gold Foil Textured Print Pillow Cover</t>
  </si>
  <si>
    <t>Wrought Iron Bathroom Shelf Wall Mounted Free Punch Toilet Rack</t>
  </si>
  <si>
    <t>7piece Set Of Storage Bags Travel Storage Bags Shoe Bags</t>
  </si>
  <si>
    <t>Electric LED UV Mosquito Killer Lamp Outdoor/Indoor Fly Killer Trap Light USB</t>
  </si>
  <si>
    <t>2PCS/LOT Solar LED Outdoor Intelligent Light Controlled Wall Lamp</t>
  </si>
  <si>
    <t>3PCS Rotary Scraper Thermomix For Kitchen</t>
  </si>
  <si>
    <t>Cushion Silicone Butt Cushion Summer Ice Cushion Honeycomb Gel Cushion</t>
  </si>
  <si>
    <t>7PCS Silicone Thumb Knife Finger Protector Vegetable Harvesting Knife</t>
  </si>
  <si>
    <t>Memory Foam Neck Pillow Cover With Pillow Core  50*30cm</t>
  </si>
  <si>
    <t>Bedroom Simple Floor Hanging Clothes Rack Single Pole Hat Rack  White</t>
  </si>
  <si>
    <t>5m Waterproof Spherical LED String Lights Outdoor Ball Chain Lights Party Lighting Decoration Adjustable</t>
  </si>
  <si>
    <t>2 Pairs Cowhide Split Leather Work Gloves.32℉ Or Above Welding Gloves</t>
  </si>
  <si>
    <t>Household Pineapple Peeler Peeler</t>
  </si>
  <si>
    <t>Office Chair Lumbar Back Support Spine Posture Correction Pillow Car Cushion</t>
  </si>
  <si>
    <t>Cartoon Car Decoration Cute Individuality For Car Home Desk</t>
  </si>
  <si>
    <t>Outdoor Portable Water Bottle With Medicine Box  600ML  Black</t>
  </si>
  <si>
    <t>WallMounted Toothbrush Toothpaste Holder With Multiple Slots</t>
  </si>
  <si>
    <t>Multifunctional Hanging Storage Box Storage Bag (4 Layers)</t>
  </si>
  <si>
    <t>Wall Clock With Hidden Safe Box</t>
  </si>
  <si>
    <t>Portable Wine Table With Folding Round Table</t>
  </si>
  <si>
    <t>Sewing Machine Needle Threader Stitch Insertion Tool Automatic Quick Sewing</t>
  </si>
  <si>
    <t>6 Layers Steel Pipe Assembling Dustproof Storage Shoe Cabinet</t>
  </si>
  <si>
    <t>2PCS Ice Silk Square Cushion Cover Pillowcases  65x65cm</t>
  </si>
  <si>
    <t>Wall Mount Automatic Toothpaste Dispenser Toothbrush Holder Toothpaste Squeezer</t>
  </si>
  <si>
    <t>Portable Soap Dispenser Kitchen Detergent Press Box Kitchen Tools</t>
  </si>
  <si>
    <t>4 Piece Coloured Stainless Steel Kitchenware Set</t>
  </si>
  <si>
    <t>Metal Wall Clock Silver Dial Crystal Jewelry Round Home Decoration Wall Clock</t>
  </si>
  <si>
    <t>Baby Early Education Shape And Color Cognitive Training Toys</t>
  </si>
  <si>
    <t>8in1 Screwdriver With LED Light</t>
  </si>
  <si>
    <t>Konka Healty Electric Kettle 24hour Heat Preservation1.5L800W White</t>
  </si>
  <si>
    <t>9pcs Gas Mask For Painting Dust Formaldehyde Grinding Polishing</t>
  </si>
  <si>
    <t>24 Grid Wallmounted Sundries Organiser Fabric Closet Bag Storage Rack</t>
  </si>
  <si>
    <t>1PC Refrigerator Food Seal Pocket Fridge Bags</t>
  </si>
  <si>
    <t>LED Solar Street Lightfake Camera</t>
  </si>
  <si>
    <t>Cartoon Embroidered Mini Towel Bear Cotton Wash Cloth Hand 4pcs</t>
  </si>
  <si>
    <t>Shower Nozzle Cleaning Unclogging Needle Mini Crevice Small Hole Cleaning Brush</t>
  </si>
  <si>
    <t>Thickening Multipurpose Non Stick Easy To Clean Heat Resistant Spoon Pad</t>
  </si>
  <si>
    <t>6 In 1 Bottle Can Opener Multifunctional Easy Opener</t>
  </si>
  <si>
    <t>Wallmounted Sticker Punchfree Plug Fixer</t>
  </si>
  <si>
    <t>Black Simple Water Cup Wine Coaster Anti Slip Absorbent</t>
  </si>
  <si>
    <t>Average of Current price</t>
  </si>
  <si>
    <t>Average of Rating category</t>
  </si>
  <si>
    <t>Average of Discount category</t>
  </si>
  <si>
    <t>Average of old price</t>
  </si>
  <si>
    <t>Count of Current price</t>
  </si>
  <si>
    <t>Count of Rating category2</t>
  </si>
  <si>
    <t>Count of Rating category</t>
  </si>
  <si>
    <t>High Discount</t>
  </si>
  <si>
    <t>Medium Discount</t>
  </si>
  <si>
    <t>Low Discount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</si>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</sst>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8" fontId="0" fillId="0" borderId="0" xfId="3" applyNumberFormat="1">
      <alignment vertical="center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178" formatCode="0.00_);[Red]\(0.00\)"/>
    </dxf>
    <dxf>
      <numFmt numFmtId="3" formatCode="#,##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4.6270717593" refreshedBy="clinto" recordCount="112">
  <cacheSource type="worksheet">
    <worksheetSource ref="A1:I113" sheet="Excel_jumia (1)"/>
  </cacheSource>
  <cacheFields count="9">
    <cacheField name="Product" numFmtId="0">
      <sharedItems count="109">
        <s v="115  Piece Set Of Multifunctional Precision Screwdrivers"/>
        <s v="Metal Decorative Hooks Key Hangers Entryway Wall Hooks Towel Hooks  Home"/>
        <s v="Portable Mini Cordless Car Vacuum Cleaner  Blue"/>
        <s v="Weighing Scale Digital Bathroom Body Fat Scale USBBlack"/>
        <s v="Portable Home Small Air Humidifier 3Speed Fan  Green"/>
        <s v="220V 60W Electric Soldering Iron Kits With Tools Tips And Multimeter"/>
        <s v="137 Pieces Cake Decorating Tool Set Baking Supplies"/>
        <s v="Desk Foldable Fan Adjustable Fan Strong Wind 3 Gear Usb"/>
        <s v="LASA FOLDING TABLE SERVING STAND"/>
        <s v="13 In 1 Home Repair Tools Box Kit Set"/>
        <s v="Genebre 115 In 1 Screwdriver Repairing Tool Set For IPhone Cellphone Hand Tool"/>
        <s v="100 Pcs Crochet Hook Tool Set Knitting Hook Set With Box"/>
        <s v="40cm Gold DIY Acrylic Wall Sticker Clock"/>
        <s v="LASA Digital Thermometer And Hydrometer"/>
        <s v="Multifunction Laser Level With Adjustment Tripod"/>
        <s v="AntiSkid Absorbent Insulation Coaster  For Home Office"/>
        <s v="Peacock  Throw Pillow Cushion Case For Home Car"/>
        <s v="LASA Aluminum Folding Truck Hand Cart  68kg Max"/>
        <s v="LED Wall Digital Alarm Clock Study Home 12 / 24H Clock Calendar"/>
        <s v="3D Waterproof EVA Plastic Shower Curtain 1.8*2Mtrs"/>
        <s v="3PCS Single Head Knitting Crochet Sweater Needle Set"/>
        <s v="4pcs Bathroom/Kitchen Towel RackRoll Paper HolderTowel BarsHook"/>
        <s v="LED Romantic Spaceship Starry Sky ProjectorChildren's Bedroom Night LightBlue"/>
        <s v="Foldable Overbed Table/Desk"/>
        <s v="LASA 3 Tier Bamboo Shoe Bench Storage Shelf"/>
        <s v="Electronic Digital Display Vernier Caliper"/>
        <s v="Portable Wardrobe Nonwoven With 3 Hanging Rods And 6 Storage Shelves"/>
        <s v="12 Litre Black Insulated Lunch Box"/>
        <s v="52 Pieces Cake Decorating Tool Set Gift Kit Baking Supplies"/>
        <s v="MultiFunctional Storage Rack Multilayer Booelf"/>
        <s v="Exfoliate And Exfoliate Face Towel  Black"/>
        <s v="12 Litre Insulated Lunch Box Grey"/>
        <s v="LED Eye Protection  Desk Lamp  Study Reading USB Fan  Double Pen Holder"/>
        <s v="53Pcs/Set Yarn Knitting Crochet Hooks With Bag  Fortune Cat"/>
        <s v="53 Pieces/Set Yarn Knitting Crochet Hooks With Bag  Pansies"/>
        <s v="DIY File Folder Office Drawer File Holder Pen Holder Desktop Storage Rack"/>
        <s v="Classic Black Cat Cotton Hemp Pillow Case For Home Car"/>
        <s v="Punchfree Great Load Bearing Bathroom Storage Rack Wall ShelfWhite"/>
        <s v="1/2/3 Seater Elastic Sofa CoverLiving Room/Home Decor Chair CoverGrey"/>
        <s v="LASA Stainless Steel Double Wall Mount Soap Dispenser  500ml"/>
        <s v="4M Float Switch Water Level Controller Water Tank"/>
        <s v="Modern Sofa Throw Pillow Cover45x45cmBlue&amp;Red"/>
        <s v="Balloon Insert Birthday Party Balloon Set PU Leather"/>
        <s v="Shower Cap Wide Elastic Band Cover Reusable Bashroom Cap"/>
        <s v="Christmas Elk Fence Yard Lawn Decorations Cute For Holidays"/>
        <s v="60W Hot Melt Glue Sprayer  Efficient And Stable Glue Dispensing"/>
        <s v="Car Phone Charging Stand"/>
        <s v="2pcs Solar Street Light Flood Light Outdoor"/>
        <s v="Creative Owl Shape Keychain Black"/>
        <s v="Brush &amp; Paintbrush Cleaning Tool Pink"/>
        <s v="Pen Grips For Kids Pen Grip Posture Correction Tool For Kids"/>
        <s v="Pilates Cloth Bag Waterproof Durable High Capacity Purple"/>
        <s v="Multipurpose Rice Drainage Basket And Fruit And Vegetable Drainage Sieve"/>
        <s v="Cute Christmas Fence Garden Decorations For Holiday Home"/>
        <s v="Simple Metal Dog Art Sculpture Decoration For Home Office"/>
        <s v="Christmas Fence Garden Decorations Outdoor For Holiday Home"/>
        <s v="Angle Measuring Tool Full Metal Multi Angle Measuring Tool"/>
        <s v="12V 19500rpm Handheld Electric Angle Grinder Tool  UK  Yellow/Black"/>
        <s v="5 Pieces/set Of Stainless Steel Induction Cooker Pots"/>
        <s v="Mythco 120COB Solar Wall Ligt With Motion Sensor And Remote Control 3 Modes"/>
        <s v="5PCS Stainless Steel Cooking Pot Set With Steamed Slices"/>
        <s v="120W Cordless Vacuum Cleaners Handheld Electric Vacuum Cleaner"/>
        <s v="Intelligent  LED Body Sensor Wireless Lighting Night Light USB"/>
        <s v="VIC Wireless Vacuum Cleaner Dual Use For Home And Car 120W High Power Powerful"/>
        <s v="Artificial Potted Flowers Room Decorative Flowers (2 Pieces)"/>
        <s v="380ML USB Rechargeable Portable Small Blenders And Juicers"/>
        <s v="32PCS Portable Cordless Drill Set With Cyclic Battery Drive 26 Variable Speed"/>
        <s v="Agapeon Toothbrush Holder And Toothpaste Dispenser"/>
        <s v="Large Lazy Inflatable Sofa Chairs PVC Lounger Seat Bag"/>
        <s v="Watercolour Gold Foil Textured Print Pillow Cover"/>
        <s v="Wrought Iron Bathroom Shelf Wall Mounted Free Punch Toilet Rack"/>
        <s v="7piece Set Of Storage Bags Travel Storage Bags Shoe Bags"/>
        <s v="Electric LED UV Mosquito Killer Lamp Outdoor/Indoor Fly Killer Trap Light USB"/>
        <s v="2PCS/LOT Solar LED Outdoor Intelligent Light Controlled Wall Lamp"/>
        <s v="3PCS Rotary Scraper Thermomix For Kitchen"/>
        <s v="Cushion Silicone Butt Cushion Summer Ice Cushion Honeycomb Gel Cushion"/>
        <s v="7PCS Silicone Thumb Knife Finger Protector Vegetable Harvesting Knife"/>
        <s v="Memory Foam Neck Pillow Cover With Pillow Core  50*30cm"/>
        <s v="Bedroom Simple Floor Hanging Clothes Rack Single Pole Hat Rack  White"/>
        <s v="5m Waterproof Spherical LED String Lights Outdoor Ball Chain Lights Party Lighting Decoration Adjustable"/>
        <s v="2 Pairs Cowhide Split Leather Work Gloves.32℉ Or Above Welding Gloves"/>
        <s v="Household Pineapple Peeler Peeler"/>
        <s v="Office Chair Lumbar Back Support Spine Posture Correction Pillow Car Cushion"/>
        <s v="Cartoon Car Decoration Cute Individuality For Car Home Desk"/>
        <s v="Outdoor Portable Water Bottle With Medicine Box  600ML  Black"/>
        <s v="WallMounted Toothbrush Toothpaste Holder With Multiple Slots"/>
        <s v="Multifunctional Hanging Storage Box Storage Bag (4 Layers)"/>
        <s v="Wall Clock With Hidden Safe Box"/>
        <s v="Portable Wine Table With Folding Round Table"/>
        <s v="Sewing Machine Needle Threader Stitch Insertion Tool Automatic Quick Sewing"/>
        <s v="6 Layers Steel Pipe Assembling Dustproof Storage Shoe Cabinet"/>
        <s v="2PCS Ice Silk Square Cushion Cover Pillowcases  65x65cm"/>
        <s v="Wall Mount Automatic Toothpaste Dispenser Toothbrush Holder Toothpaste Squeezer"/>
        <s v="Portable Soap Dispenser Kitchen Detergent Press Box Kitchen Tools"/>
        <s v="4 Piece Coloured Stainless Steel Kitchenware Set"/>
        <s v="Metal Wall Clock Silver Dial Crystal Jewelry Round Home Decoration Wall Clock"/>
        <s v="Baby Early Education Shape And Color Cognitive Training Toys"/>
        <s v="8in1 Screwdriver With LED Light"/>
        <s v="Konka Healty Electric Kettle 24hour Heat Preservation1.5L800W White"/>
        <s v="9pcs Gas Mask For Painting Dust Formaldehyde Grinding Polishing"/>
        <s v="24 Grid Wallmounted Sundries Organiser Fabric Closet Bag Storage Rack"/>
        <s v="1PC Refrigerator Food Seal Pocket Fridge Bags"/>
        <s v="LED Solar Street Lightfake Camera"/>
        <s v="Cartoon Embroidered Mini Towel Bear Cotton Wash Cloth Hand 4pcs"/>
        <s v="Shower Nozzle Cleaning Unclogging Needle Mini Crevice Small Hole Cleaning Brush"/>
        <s v="Thickening Multipurpose Non Stick Easy To Clean Heat Resistant Spoon Pad"/>
        <s v="6 In 1 Bottle Can Opener Multifunctional Easy Opener"/>
        <s v="Wallmounted Sticker Punchfree Plug Fixer"/>
        <s v="Black Simple Water Cup Wine Coaster Anti Slip Absorbent"/>
      </sharedItems>
    </cacheField>
    <cacheField name="Current price" numFmtId="0">
      <sharedItems containsNumber="1" containsInteger="1" containsMixedTypes="1" count="103">
        <n v="950"/>
        <n v="527"/>
        <n v="2199"/>
        <n v="1580"/>
        <n v="1740"/>
        <n v="2999"/>
        <n v="2319"/>
        <n v="988"/>
        <n v="1274"/>
        <n v="1600"/>
        <n v="799"/>
        <n v="990"/>
        <n v="552"/>
        <n v="501"/>
        <n v="1680"/>
        <n v="332"/>
        <n v="195"/>
        <n v="2025"/>
        <n v="998"/>
        <n v="38"/>
        <n v="1860"/>
        <n v="880"/>
        <n v="1650"/>
        <n v="2048"/>
        <n v="420"/>
        <n v="2880"/>
        <n v="1350"/>
        <n v="1758"/>
        <n v="2200"/>
        <n v="185"/>
        <n v="980"/>
        <n v="1820"/>
        <n v="1940"/>
        <n v="1980"/>
        <n v="1620"/>
        <n v="171"/>
        <n v="389"/>
        <s v=" 1620   1980"/>
        <n v="2750"/>
        <n v="475"/>
        <n v="238"/>
        <n v="610"/>
        <n v="2132"/>
        <n v="999"/>
        <n v="1190"/>
        <n v="671"/>
        <n v="1200"/>
        <n v="199"/>
        <n v="299"/>
        <n v="1660"/>
        <n v="1459"/>
        <n v="499"/>
        <n v="699"/>
        <n v="2799"/>
        <n v="399"/>
        <n v="2170"/>
        <n v="458"/>
        <n v="2115"/>
        <n v="445"/>
        <n v="325"/>
        <n v="1220"/>
        <n v="1000"/>
        <n v="3750"/>
        <n v="382"/>
        <n v="2300"/>
        <n v="345"/>
        <n v="509"/>
        <n v="968"/>
        <n v="1570"/>
        <n v="790"/>
        <n v="690"/>
        <n v="1732"/>
        <n v="230"/>
        <n v="1189"/>
        <n v="979"/>
        <n v="1460"/>
        <n v="1666"/>
        <n v="330"/>
        <n v="176"/>
        <n v="1466"/>
        <n v="274"/>
        <n v="657"/>
        <n v="1468"/>
        <n v="630"/>
        <n v="850"/>
        <n v="1300"/>
        <n v="105"/>
        <n v="899"/>
        <n v="1526"/>
        <n v="1462"/>
        <n v="248"/>
        <n v="3546"/>
        <n v="525"/>
        <n v="1080"/>
        <n v="3640"/>
        <n v="1420"/>
        <n v="1875"/>
        <n v="198"/>
        <n v="1150"/>
        <n v="1658"/>
        <n v="1768"/>
        <n v="450"/>
        <n v="169"/>
      </sharedItems>
    </cacheField>
    <cacheField name="old price" numFmtId="0">
      <sharedItems containsNumber="1" containsInteger="1" containsMixedTypes="1" count="93">
        <n v="1525"/>
        <n v="999"/>
        <n v="2923"/>
        <n v="2499"/>
        <n v="2356"/>
        <n v="3290"/>
        <n v="3032"/>
        <n v="1580"/>
        <n v="2800"/>
        <n v="2929"/>
        <n v="1500"/>
        <n v="1035"/>
        <n v="860"/>
        <n v="684"/>
        <n v="360"/>
        <n v="3971"/>
        <n v="3699"/>
        <n v="1966"/>
        <n v="80"/>
        <n v="3220"/>
        <n v="1350"/>
        <n v="2150"/>
        <n v="4500"/>
        <n v="647"/>
        <n v="3520"/>
        <n v="1990"/>
        <n v="4080"/>
        <n v="382"/>
        <n v="1490"/>
        <n v="3490"/>
        <n v="2650"/>
        <n v="2699"/>
        <n v="2690"/>
        <n v="656"/>
        <s v=" 2200   3200"/>
        <n v="4471"/>
        <n v="931"/>
        <n v="476"/>
        <n v="1060"/>
        <n v="2169"/>
        <n v="2000"/>
        <n v="1785"/>
        <n v="1316"/>
        <n v="1950"/>
        <n v="504"/>
        <n v="600"/>
        <n v="1699"/>
        <n v="384"/>
        <n v="1499"/>
        <n v="1343"/>
        <n v="900"/>
        <n v="1567"/>
        <n v="3810"/>
        <n v="896"/>
        <n v="2500"/>
        <n v="986"/>
        <n v="4700"/>
        <n v="873"/>
        <n v="680"/>
        <n v="1555"/>
        <n v="1814"/>
        <n v="6143"/>
        <n v="700"/>
        <n v="3240"/>
        <n v="602"/>
        <n v="899"/>
        <n v="2988"/>
        <n v="1485"/>
        <n v="1200"/>
        <n v="1799"/>
        <n v="450"/>
        <n v="2199"/>
        <n v="1920"/>
        <n v="2290"/>
        <n v="345"/>
        <n v="537"/>
        <n v="1288"/>
        <n v="1100"/>
        <n v="1700"/>
        <n v="200"/>
        <n v="2400"/>
        <n v="1660"/>
        <n v="486"/>
        <n v="1029"/>
        <n v="1874"/>
        <n v="4588"/>
        <n v="2420"/>
        <n v="1899"/>
        <n v="260"/>
        <n v="1737"/>
        <n v="1810"/>
        <n v="553"/>
        <n v="320"/>
      </sharedItems>
    </cacheField>
    <cacheField name="Discount" numFmtId="178">
      <sharedItems containsSemiMixedTypes="0" containsString="0" containsNumber="1" minValue="0" maxValue="0.64" count="46">
        <n v="0.38"/>
        <n v="0.47"/>
        <n v="0.25"/>
        <n v="0.37"/>
        <n v="0.26"/>
        <n v="0.09"/>
        <n v="0.24"/>
        <n v="0.55"/>
        <n v="0.45"/>
        <n v="0.2"/>
        <n v="0.34"/>
        <n v="0.42"/>
        <n v="0.33"/>
        <n v="0.51"/>
        <n v="0.46"/>
        <n v="0.49"/>
        <n v="0.19"/>
        <n v="0.53"/>
        <n v="0.35"/>
        <n v="0.23"/>
        <n v="0.54"/>
        <n v="0.18"/>
        <n v="0.32"/>
        <n v="0.3"/>
        <n v="0.52"/>
        <n v="0.48"/>
        <n v="0.27"/>
        <n v="0.4"/>
        <n v="0.41"/>
        <n v="0.5"/>
        <n v="0.02"/>
        <n v="0.61"/>
        <n v="0.22"/>
        <n v="0.03"/>
        <n v="0.13"/>
        <n v="0.39"/>
        <n v="0.29"/>
        <n v="0.43"/>
        <n v="0.04"/>
        <n v="0.36"/>
        <n v="0.14"/>
        <n v="0.11"/>
        <n v="0.08"/>
        <n v="0.21"/>
        <n v="0.01"/>
        <n v="0.64"/>
      </sharedItems>
    </cacheField>
    <cacheField name="Review" numFmtId="0">
      <sharedItems containsNumber="1" containsInteger="1" containsMixedTypes="1" count="24">
        <n v="2"/>
        <n v="14"/>
        <n v="24"/>
        <n v="7"/>
        <n v="5"/>
        <n v="15"/>
        <n v="55"/>
        <n v="12"/>
        <n v="39"/>
        <n v="6"/>
        <n v="9"/>
        <n v="3"/>
        <n v="44"/>
        <n v="13"/>
        <s v="N/A"/>
        <n v="49"/>
        <n v="20"/>
        <n v="32"/>
        <n v="1"/>
        <n v="36"/>
        <n v="10"/>
        <n v="69"/>
        <n v="16"/>
        <n v="17"/>
      </sharedItems>
    </cacheField>
    <cacheField name="Ratingd" numFmtId="0">
      <sharedItems containsNumber="1" containsMixedTypes="1" count="23">
        <n v="4.5"/>
        <n v="4.1"/>
        <n v="4.6"/>
        <n v="4.7"/>
        <n v="4.8"/>
        <n v="4"/>
        <n v="3.8"/>
        <n v="4.2"/>
        <n v="5"/>
        <n v="3.3"/>
        <s v="N/A"/>
        <n v="4.4"/>
        <n v="4.3"/>
        <n v="2.5"/>
        <n v="3"/>
        <n v="2.1"/>
        <n v="2.8"/>
        <n v="2.7"/>
        <n v="2.9"/>
        <n v="2.2"/>
        <n v="2.3"/>
        <n v="2.6"/>
        <n v="2"/>
      </sharedItems>
    </cacheField>
    <cacheField name="Discount Amount(Ksh)" numFmtId="3">
      <sharedItems containsNumber="1" containsInteger="1" containsMixedTypes="1" count="103">
        <n v="575"/>
        <n v="472"/>
        <n v="724"/>
        <n v="919"/>
        <n v="616"/>
        <n v="291"/>
        <n v="713"/>
        <n v="592"/>
        <n v="1526"/>
        <n v="1329"/>
        <n v="200"/>
        <n v="510"/>
        <n v="483"/>
        <n v="359"/>
        <n v="819"/>
        <n v="352"/>
        <n v="165"/>
        <n v="1946"/>
        <n v="700"/>
        <n v="968"/>
        <n v="42"/>
        <n v="1360"/>
        <n v="470"/>
        <n v="500"/>
        <n v="2452"/>
        <n v="227"/>
        <n v="640"/>
        <n v="741"/>
        <n v="1880"/>
        <n v="197"/>
        <n v="1670"/>
        <n v="710"/>
        <n v="719"/>
        <n v="1070"/>
        <n v="189"/>
        <n v="267"/>
        <e v="#VALUE!"/>
        <n v="1721"/>
        <n v="456"/>
        <n v="238"/>
        <n v="450"/>
        <n v="37"/>
        <n v="1001"/>
        <n v="595"/>
        <n v="645"/>
        <n v="750"/>
        <n v="305"/>
        <n v="301"/>
        <n v="39"/>
        <n v="85"/>
        <n v="40"/>
        <n v="544"/>
        <n v="401"/>
        <n v="644"/>
        <n v="768"/>
        <n v="1011"/>
        <n v="497"/>
        <n v="330"/>
        <n v="528"/>
        <n v="2585"/>
        <n v="428"/>
        <n v="355"/>
        <n v="335"/>
        <n v="824"/>
        <n v="1000"/>
        <n v="2393"/>
        <n v="318"/>
        <n v="940"/>
        <n v="257"/>
        <n v="390"/>
        <n v="846"/>
        <n v="1418"/>
        <n v="695"/>
        <n v="67"/>
        <n v="220"/>
        <n v="1010"/>
        <n v="941"/>
        <n v="830"/>
        <n v="33"/>
        <n v="317"/>
        <n v="169"/>
        <n v="233"/>
        <n v="263"/>
        <n v="101"/>
        <n v="631"/>
        <n v="231"/>
        <n v="850"/>
        <n v="1200"/>
        <n v="95"/>
        <n v="800"/>
        <n v="134"/>
        <n v="153"/>
        <n v="504"/>
        <n v="794"/>
        <n v="948"/>
        <n v="24"/>
        <n v="62"/>
        <n v="587"/>
        <n v="620"/>
        <n v="41"/>
        <n v="31"/>
        <n v="354"/>
        <n v="151"/>
      </sharedItems>
    </cacheField>
    <cacheField name="Rating category" numFmtId="0">
      <sharedItems count="3">
        <s v="Excellent"/>
        <s v="Average"/>
        <s v="Poor"/>
      </sharedItems>
    </cacheField>
    <cacheField name="Discount category" numFmtId="0">
      <sharedItems count="3">
        <s v="Medium Discount"/>
        <s v="High Discount"/>
        <s v="Low Discoun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2"/>
    <x v="2"/>
    <x v="2"/>
    <x v="2"/>
    <x v="0"/>
    <x v="0"/>
  </r>
  <r>
    <x v="3"/>
    <x v="3"/>
    <x v="3"/>
    <x v="3"/>
    <x v="3"/>
    <x v="3"/>
    <x v="3"/>
    <x v="0"/>
    <x v="0"/>
  </r>
  <r>
    <x v="4"/>
    <x v="4"/>
    <x v="4"/>
    <x v="4"/>
    <x v="4"/>
    <x v="4"/>
    <x v="4"/>
    <x v="0"/>
    <x v="0"/>
  </r>
  <r>
    <x v="5"/>
    <x v="5"/>
    <x v="5"/>
    <x v="5"/>
    <x v="5"/>
    <x v="5"/>
    <x v="5"/>
    <x v="1"/>
    <x v="2"/>
  </r>
  <r>
    <x v="6"/>
    <x v="6"/>
    <x v="6"/>
    <x v="6"/>
    <x v="6"/>
    <x v="2"/>
    <x v="6"/>
    <x v="0"/>
    <x v="0"/>
  </r>
  <r>
    <x v="7"/>
    <x v="7"/>
    <x v="7"/>
    <x v="3"/>
    <x v="0"/>
    <x v="5"/>
    <x v="7"/>
    <x v="1"/>
    <x v="0"/>
  </r>
  <r>
    <x v="8"/>
    <x v="8"/>
    <x v="8"/>
    <x v="7"/>
    <x v="4"/>
    <x v="4"/>
    <x v="8"/>
    <x v="0"/>
    <x v="1"/>
  </r>
  <r>
    <x v="9"/>
    <x v="9"/>
    <x v="9"/>
    <x v="8"/>
    <x v="4"/>
    <x v="6"/>
    <x v="9"/>
    <x v="1"/>
    <x v="1"/>
  </r>
  <r>
    <x v="10"/>
    <x v="10"/>
    <x v="1"/>
    <x v="9"/>
    <x v="7"/>
    <x v="1"/>
    <x v="10"/>
    <x v="1"/>
    <x v="0"/>
  </r>
  <r>
    <x v="11"/>
    <x v="11"/>
    <x v="10"/>
    <x v="10"/>
    <x v="8"/>
    <x v="3"/>
    <x v="11"/>
    <x v="0"/>
    <x v="0"/>
  </r>
  <r>
    <x v="12"/>
    <x v="12"/>
    <x v="11"/>
    <x v="1"/>
    <x v="7"/>
    <x v="4"/>
    <x v="12"/>
    <x v="0"/>
    <x v="1"/>
  </r>
  <r>
    <x v="13"/>
    <x v="13"/>
    <x v="12"/>
    <x v="11"/>
    <x v="9"/>
    <x v="0"/>
    <x v="13"/>
    <x v="0"/>
    <x v="1"/>
  </r>
  <r>
    <x v="14"/>
    <x v="14"/>
    <x v="3"/>
    <x v="12"/>
    <x v="10"/>
    <x v="7"/>
    <x v="14"/>
    <x v="1"/>
    <x v="0"/>
  </r>
  <r>
    <x v="15"/>
    <x v="15"/>
    <x v="13"/>
    <x v="13"/>
    <x v="0"/>
    <x v="8"/>
    <x v="15"/>
    <x v="0"/>
    <x v="1"/>
  </r>
  <r>
    <x v="16"/>
    <x v="16"/>
    <x v="14"/>
    <x v="14"/>
    <x v="0"/>
    <x v="8"/>
    <x v="16"/>
    <x v="0"/>
    <x v="1"/>
  </r>
  <r>
    <x v="17"/>
    <x v="17"/>
    <x v="15"/>
    <x v="15"/>
    <x v="11"/>
    <x v="8"/>
    <x v="17"/>
    <x v="0"/>
    <x v="1"/>
  </r>
  <r>
    <x v="18"/>
    <x v="5"/>
    <x v="16"/>
    <x v="16"/>
    <x v="4"/>
    <x v="2"/>
    <x v="18"/>
    <x v="0"/>
    <x v="2"/>
  </r>
  <r>
    <x v="19"/>
    <x v="18"/>
    <x v="17"/>
    <x v="15"/>
    <x v="12"/>
    <x v="2"/>
    <x v="19"/>
    <x v="0"/>
    <x v="1"/>
  </r>
  <r>
    <x v="20"/>
    <x v="19"/>
    <x v="18"/>
    <x v="17"/>
    <x v="13"/>
    <x v="9"/>
    <x v="20"/>
    <x v="1"/>
    <x v="1"/>
  </r>
  <r>
    <x v="21"/>
    <x v="20"/>
    <x v="19"/>
    <x v="11"/>
    <x v="14"/>
    <x v="10"/>
    <x v="21"/>
    <x v="0"/>
    <x v="1"/>
  </r>
  <r>
    <x v="22"/>
    <x v="21"/>
    <x v="20"/>
    <x v="18"/>
    <x v="9"/>
    <x v="5"/>
    <x v="22"/>
    <x v="1"/>
    <x v="0"/>
  </r>
  <r>
    <x v="23"/>
    <x v="22"/>
    <x v="21"/>
    <x v="19"/>
    <x v="1"/>
    <x v="11"/>
    <x v="23"/>
    <x v="1"/>
    <x v="0"/>
  </r>
  <r>
    <x v="24"/>
    <x v="23"/>
    <x v="22"/>
    <x v="20"/>
    <x v="3"/>
    <x v="12"/>
    <x v="24"/>
    <x v="1"/>
    <x v="1"/>
  </r>
  <r>
    <x v="25"/>
    <x v="24"/>
    <x v="23"/>
    <x v="18"/>
    <x v="15"/>
    <x v="2"/>
    <x v="25"/>
    <x v="0"/>
    <x v="0"/>
  </r>
  <r>
    <x v="26"/>
    <x v="25"/>
    <x v="24"/>
    <x v="21"/>
    <x v="7"/>
    <x v="6"/>
    <x v="26"/>
    <x v="1"/>
    <x v="2"/>
  </r>
  <r>
    <x v="27"/>
    <x v="26"/>
    <x v="25"/>
    <x v="22"/>
    <x v="13"/>
    <x v="6"/>
    <x v="26"/>
    <x v="1"/>
    <x v="0"/>
  </r>
  <r>
    <x v="28"/>
    <x v="27"/>
    <x v="3"/>
    <x v="23"/>
    <x v="16"/>
    <x v="1"/>
    <x v="27"/>
    <x v="1"/>
    <x v="0"/>
  </r>
  <r>
    <x v="29"/>
    <x v="28"/>
    <x v="26"/>
    <x v="14"/>
    <x v="14"/>
    <x v="10"/>
    <x v="28"/>
    <x v="0"/>
    <x v="1"/>
  </r>
  <r>
    <x v="30"/>
    <x v="29"/>
    <x v="27"/>
    <x v="24"/>
    <x v="10"/>
    <x v="12"/>
    <x v="29"/>
    <x v="1"/>
    <x v="1"/>
  </r>
  <r>
    <x v="31"/>
    <x v="30"/>
    <x v="28"/>
    <x v="10"/>
    <x v="7"/>
    <x v="3"/>
    <x v="11"/>
    <x v="0"/>
    <x v="0"/>
  </r>
  <r>
    <x v="32"/>
    <x v="31"/>
    <x v="29"/>
    <x v="25"/>
    <x v="10"/>
    <x v="12"/>
    <x v="30"/>
    <x v="1"/>
    <x v="1"/>
  </r>
  <r>
    <x v="33"/>
    <x v="32"/>
    <x v="30"/>
    <x v="26"/>
    <x v="16"/>
    <x v="3"/>
    <x v="31"/>
    <x v="0"/>
    <x v="0"/>
  </r>
  <r>
    <x v="34"/>
    <x v="33"/>
    <x v="31"/>
    <x v="26"/>
    <x v="17"/>
    <x v="0"/>
    <x v="32"/>
    <x v="0"/>
    <x v="0"/>
  </r>
  <r>
    <x v="35"/>
    <x v="34"/>
    <x v="32"/>
    <x v="27"/>
    <x v="18"/>
    <x v="8"/>
    <x v="33"/>
    <x v="0"/>
    <x v="0"/>
  </r>
  <r>
    <x v="36"/>
    <x v="35"/>
    <x v="14"/>
    <x v="17"/>
    <x v="0"/>
    <x v="8"/>
    <x v="34"/>
    <x v="0"/>
    <x v="1"/>
  </r>
  <r>
    <x v="37"/>
    <x v="36"/>
    <x v="33"/>
    <x v="28"/>
    <x v="19"/>
    <x v="12"/>
    <x v="35"/>
    <x v="1"/>
    <x v="1"/>
  </r>
  <r>
    <x v="38"/>
    <x v="37"/>
    <x v="34"/>
    <x v="0"/>
    <x v="0"/>
    <x v="0"/>
    <x v="36"/>
    <x v="0"/>
    <x v="0"/>
  </r>
  <r>
    <x v="39"/>
    <x v="38"/>
    <x v="35"/>
    <x v="0"/>
    <x v="14"/>
    <x v="10"/>
    <x v="37"/>
    <x v="0"/>
    <x v="0"/>
  </r>
  <r>
    <x v="40"/>
    <x v="39"/>
    <x v="36"/>
    <x v="15"/>
    <x v="14"/>
    <x v="10"/>
    <x v="38"/>
    <x v="0"/>
    <x v="1"/>
  </r>
  <r>
    <x v="41"/>
    <x v="40"/>
    <x v="37"/>
    <x v="29"/>
    <x v="14"/>
    <x v="10"/>
    <x v="39"/>
    <x v="0"/>
    <x v="1"/>
  </r>
  <r>
    <x v="42"/>
    <x v="41"/>
    <x v="38"/>
    <x v="11"/>
    <x v="14"/>
    <x v="10"/>
    <x v="40"/>
    <x v="0"/>
    <x v="1"/>
  </r>
  <r>
    <x v="43"/>
    <x v="42"/>
    <x v="39"/>
    <x v="30"/>
    <x v="14"/>
    <x v="10"/>
    <x v="41"/>
    <x v="0"/>
    <x v="2"/>
  </r>
  <r>
    <x v="44"/>
    <x v="43"/>
    <x v="40"/>
    <x v="29"/>
    <x v="14"/>
    <x v="10"/>
    <x v="42"/>
    <x v="0"/>
    <x v="1"/>
  </r>
  <r>
    <x v="45"/>
    <x v="44"/>
    <x v="41"/>
    <x v="12"/>
    <x v="14"/>
    <x v="10"/>
    <x v="43"/>
    <x v="0"/>
    <x v="0"/>
  </r>
  <r>
    <x v="46"/>
    <x v="45"/>
    <x v="42"/>
    <x v="15"/>
    <x v="14"/>
    <x v="10"/>
    <x v="44"/>
    <x v="0"/>
    <x v="1"/>
  </r>
  <r>
    <x v="47"/>
    <x v="46"/>
    <x v="43"/>
    <x v="0"/>
    <x v="14"/>
    <x v="10"/>
    <x v="45"/>
    <x v="0"/>
    <x v="0"/>
  </r>
  <r>
    <x v="48"/>
    <x v="47"/>
    <x v="44"/>
    <x v="31"/>
    <x v="14"/>
    <x v="10"/>
    <x v="46"/>
    <x v="0"/>
    <x v="1"/>
  </r>
  <r>
    <x v="49"/>
    <x v="48"/>
    <x v="45"/>
    <x v="29"/>
    <x v="14"/>
    <x v="10"/>
    <x v="47"/>
    <x v="0"/>
    <x v="1"/>
  </r>
  <r>
    <x v="50"/>
    <x v="49"/>
    <x v="46"/>
    <x v="30"/>
    <x v="14"/>
    <x v="10"/>
    <x v="48"/>
    <x v="0"/>
    <x v="2"/>
  </r>
  <r>
    <x v="51"/>
    <x v="48"/>
    <x v="47"/>
    <x v="32"/>
    <x v="14"/>
    <x v="10"/>
    <x v="49"/>
    <x v="0"/>
    <x v="0"/>
  </r>
  <r>
    <x v="52"/>
    <x v="50"/>
    <x v="48"/>
    <x v="33"/>
    <x v="14"/>
    <x v="10"/>
    <x v="50"/>
    <x v="0"/>
    <x v="2"/>
  </r>
  <r>
    <x v="53"/>
    <x v="10"/>
    <x v="49"/>
    <x v="28"/>
    <x v="14"/>
    <x v="10"/>
    <x v="51"/>
    <x v="0"/>
    <x v="1"/>
  </r>
  <r>
    <x v="54"/>
    <x v="51"/>
    <x v="50"/>
    <x v="8"/>
    <x v="14"/>
    <x v="10"/>
    <x v="52"/>
    <x v="0"/>
    <x v="1"/>
  </r>
  <r>
    <x v="55"/>
    <x v="52"/>
    <x v="49"/>
    <x v="25"/>
    <x v="14"/>
    <x v="10"/>
    <x v="53"/>
    <x v="0"/>
    <x v="1"/>
  </r>
  <r>
    <x v="56"/>
    <x v="10"/>
    <x v="51"/>
    <x v="15"/>
    <x v="14"/>
    <x v="10"/>
    <x v="54"/>
    <x v="0"/>
    <x v="1"/>
  </r>
  <r>
    <x v="57"/>
    <x v="53"/>
    <x v="52"/>
    <x v="26"/>
    <x v="14"/>
    <x v="10"/>
    <x v="55"/>
    <x v="0"/>
    <x v="0"/>
  </r>
  <r>
    <x v="54"/>
    <x v="54"/>
    <x v="53"/>
    <x v="7"/>
    <x v="14"/>
    <x v="10"/>
    <x v="56"/>
    <x v="0"/>
    <x v="1"/>
  </r>
  <r>
    <x v="58"/>
    <x v="55"/>
    <x v="54"/>
    <x v="34"/>
    <x v="9"/>
    <x v="13"/>
    <x v="57"/>
    <x v="2"/>
    <x v="2"/>
  </r>
  <r>
    <x v="59"/>
    <x v="56"/>
    <x v="55"/>
    <x v="20"/>
    <x v="20"/>
    <x v="14"/>
    <x v="58"/>
    <x v="1"/>
    <x v="1"/>
  </r>
  <r>
    <x v="60"/>
    <x v="57"/>
    <x v="56"/>
    <x v="7"/>
    <x v="13"/>
    <x v="15"/>
    <x v="59"/>
    <x v="2"/>
    <x v="1"/>
  </r>
  <r>
    <x v="61"/>
    <x v="58"/>
    <x v="57"/>
    <x v="15"/>
    <x v="21"/>
    <x v="16"/>
    <x v="60"/>
    <x v="2"/>
    <x v="1"/>
  </r>
  <r>
    <x v="62"/>
    <x v="59"/>
    <x v="58"/>
    <x v="24"/>
    <x v="5"/>
    <x v="17"/>
    <x v="61"/>
    <x v="2"/>
    <x v="1"/>
  </r>
  <r>
    <x v="63"/>
    <x v="60"/>
    <x v="59"/>
    <x v="32"/>
    <x v="22"/>
    <x v="18"/>
    <x v="62"/>
    <x v="2"/>
    <x v="0"/>
  </r>
  <r>
    <x v="64"/>
    <x v="11"/>
    <x v="60"/>
    <x v="8"/>
    <x v="9"/>
    <x v="19"/>
    <x v="63"/>
    <x v="2"/>
    <x v="1"/>
  </r>
  <r>
    <x v="65"/>
    <x v="61"/>
    <x v="40"/>
    <x v="29"/>
    <x v="3"/>
    <x v="20"/>
    <x v="64"/>
    <x v="2"/>
    <x v="1"/>
  </r>
  <r>
    <x v="66"/>
    <x v="62"/>
    <x v="61"/>
    <x v="35"/>
    <x v="4"/>
    <x v="14"/>
    <x v="65"/>
    <x v="1"/>
    <x v="0"/>
  </r>
  <r>
    <x v="67"/>
    <x v="63"/>
    <x v="62"/>
    <x v="8"/>
    <x v="23"/>
    <x v="21"/>
    <x v="66"/>
    <x v="2"/>
    <x v="1"/>
  </r>
  <r>
    <x v="68"/>
    <x v="64"/>
    <x v="63"/>
    <x v="36"/>
    <x v="4"/>
    <x v="14"/>
    <x v="67"/>
    <x v="1"/>
    <x v="0"/>
  </r>
  <r>
    <x v="69"/>
    <x v="65"/>
    <x v="64"/>
    <x v="37"/>
    <x v="9"/>
    <x v="20"/>
    <x v="68"/>
    <x v="2"/>
    <x v="1"/>
  </r>
  <r>
    <x v="70"/>
    <x v="66"/>
    <x v="65"/>
    <x v="37"/>
    <x v="4"/>
    <x v="14"/>
    <x v="69"/>
    <x v="1"/>
    <x v="1"/>
  </r>
  <r>
    <x v="71"/>
    <x v="67"/>
    <x v="60"/>
    <x v="1"/>
    <x v="9"/>
    <x v="19"/>
    <x v="70"/>
    <x v="2"/>
    <x v="1"/>
  </r>
  <r>
    <x v="72"/>
    <x v="68"/>
    <x v="66"/>
    <x v="1"/>
    <x v="3"/>
    <x v="15"/>
    <x v="71"/>
    <x v="2"/>
    <x v="1"/>
  </r>
  <r>
    <x v="73"/>
    <x v="69"/>
    <x v="67"/>
    <x v="1"/>
    <x v="14"/>
    <x v="10"/>
    <x v="72"/>
    <x v="0"/>
    <x v="1"/>
  </r>
  <r>
    <x v="74"/>
    <x v="70"/>
    <x v="68"/>
    <x v="37"/>
    <x v="14"/>
    <x v="10"/>
    <x v="11"/>
    <x v="0"/>
    <x v="1"/>
  </r>
  <r>
    <x v="75"/>
    <x v="71"/>
    <x v="69"/>
    <x v="38"/>
    <x v="14"/>
    <x v="10"/>
    <x v="73"/>
    <x v="0"/>
    <x v="2"/>
  </r>
  <r>
    <x v="76"/>
    <x v="72"/>
    <x v="70"/>
    <x v="15"/>
    <x v="14"/>
    <x v="10"/>
    <x v="74"/>
    <x v="0"/>
    <x v="1"/>
  </r>
  <r>
    <x v="77"/>
    <x v="73"/>
    <x v="71"/>
    <x v="14"/>
    <x v="18"/>
    <x v="14"/>
    <x v="75"/>
    <x v="1"/>
    <x v="1"/>
  </r>
  <r>
    <x v="78"/>
    <x v="74"/>
    <x v="72"/>
    <x v="15"/>
    <x v="18"/>
    <x v="8"/>
    <x v="76"/>
    <x v="0"/>
    <x v="1"/>
  </r>
  <r>
    <x v="79"/>
    <x v="75"/>
    <x v="73"/>
    <x v="39"/>
    <x v="14"/>
    <x v="10"/>
    <x v="77"/>
    <x v="0"/>
    <x v="0"/>
  </r>
  <r>
    <x v="80"/>
    <x v="76"/>
    <x v="46"/>
    <x v="30"/>
    <x v="14"/>
    <x v="10"/>
    <x v="78"/>
    <x v="0"/>
    <x v="2"/>
  </r>
  <r>
    <x v="81"/>
    <x v="77"/>
    <x v="23"/>
    <x v="15"/>
    <x v="18"/>
    <x v="5"/>
    <x v="79"/>
    <x v="1"/>
    <x v="1"/>
  </r>
  <r>
    <x v="48"/>
    <x v="78"/>
    <x v="74"/>
    <x v="15"/>
    <x v="14"/>
    <x v="10"/>
    <x v="80"/>
    <x v="0"/>
    <x v="1"/>
  </r>
  <r>
    <x v="82"/>
    <x v="79"/>
    <x v="46"/>
    <x v="40"/>
    <x v="14"/>
    <x v="10"/>
    <x v="81"/>
    <x v="0"/>
    <x v="2"/>
  </r>
  <r>
    <x v="83"/>
    <x v="80"/>
    <x v="75"/>
    <x v="15"/>
    <x v="14"/>
    <x v="10"/>
    <x v="82"/>
    <x v="0"/>
    <x v="1"/>
  </r>
  <r>
    <x v="84"/>
    <x v="10"/>
    <x v="50"/>
    <x v="41"/>
    <x v="14"/>
    <x v="10"/>
    <x v="83"/>
    <x v="0"/>
    <x v="2"/>
  </r>
  <r>
    <x v="56"/>
    <x v="81"/>
    <x v="76"/>
    <x v="15"/>
    <x v="14"/>
    <x v="10"/>
    <x v="84"/>
    <x v="0"/>
    <x v="1"/>
  </r>
  <r>
    <x v="85"/>
    <x v="82"/>
    <x v="46"/>
    <x v="40"/>
    <x v="14"/>
    <x v="10"/>
    <x v="85"/>
    <x v="0"/>
    <x v="2"/>
  </r>
  <r>
    <x v="86"/>
    <x v="83"/>
    <x v="77"/>
    <x v="37"/>
    <x v="14"/>
    <x v="10"/>
    <x v="22"/>
    <x v="0"/>
    <x v="1"/>
  </r>
  <r>
    <x v="87"/>
    <x v="84"/>
    <x v="78"/>
    <x v="29"/>
    <x v="14"/>
    <x v="10"/>
    <x v="86"/>
    <x v="0"/>
    <x v="1"/>
  </r>
  <r>
    <x v="88"/>
    <x v="85"/>
    <x v="54"/>
    <x v="25"/>
    <x v="14"/>
    <x v="10"/>
    <x v="87"/>
    <x v="0"/>
    <x v="1"/>
  </r>
  <r>
    <x v="89"/>
    <x v="86"/>
    <x v="79"/>
    <x v="25"/>
    <x v="14"/>
    <x v="10"/>
    <x v="88"/>
    <x v="0"/>
    <x v="1"/>
  </r>
  <r>
    <x v="90"/>
    <x v="87"/>
    <x v="46"/>
    <x v="1"/>
    <x v="14"/>
    <x v="10"/>
    <x v="89"/>
    <x v="0"/>
    <x v="1"/>
  </r>
  <r>
    <x v="91"/>
    <x v="46"/>
    <x v="80"/>
    <x v="29"/>
    <x v="14"/>
    <x v="10"/>
    <x v="87"/>
    <x v="0"/>
    <x v="1"/>
  </r>
  <r>
    <x v="92"/>
    <x v="88"/>
    <x v="81"/>
    <x v="42"/>
    <x v="14"/>
    <x v="10"/>
    <x v="90"/>
    <x v="0"/>
    <x v="2"/>
  </r>
  <r>
    <x v="93"/>
    <x v="89"/>
    <x v="48"/>
    <x v="30"/>
    <x v="14"/>
    <x v="10"/>
    <x v="41"/>
    <x v="0"/>
    <x v="2"/>
  </r>
  <r>
    <x v="94"/>
    <x v="90"/>
    <x v="82"/>
    <x v="15"/>
    <x v="14"/>
    <x v="10"/>
    <x v="39"/>
    <x v="0"/>
    <x v="1"/>
  </r>
  <r>
    <x v="95"/>
    <x v="91"/>
    <x v="16"/>
    <x v="38"/>
    <x v="14"/>
    <x v="10"/>
    <x v="91"/>
    <x v="0"/>
    <x v="2"/>
  </r>
  <r>
    <x v="96"/>
    <x v="92"/>
    <x v="83"/>
    <x v="15"/>
    <x v="14"/>
    <x v="10"/>
    <x v="92"/>
    <x v="0"/>
    <x v="1"/>
  </r>
  <r>
    <x v="97"/>
    <x v="93"/>
    <x v="84"/>
    <x v="11"/>
    <x v="14"/>
    <x v="10"/>
    <x v="93"/>
    <x v="0"/>
    <x v="1"/>
  </r>
  <r>
    <x v="98"/>
    <x v="94"/>
    <x v="85"/>
    <x v="43"/>
    <x v="18"/>
    <x v="8"/>
    <x v="94"/>
    <x v="0"/>
    <x v="0"/>
  </r>
  <r>
    <x v="99"/>
    <x v="95"/>
    <x v="86"/>
    <x v="28"/>
    <x v="14"/>
    <x v="10"/>
    <x v="64"/>
    <x v="0"/>
    <x v="1"/>
  </r>
  <r>
    <x v="100"/>
    <x v="96"/>
    <x v="87"/>
    <x v="44"/>
    <x v="14"/>
    <x v="10"/>
    <x v="95"/>
    <x v="0"/>
    <x v="2"/>
  </r>
  <r>
    <x v="101"/>
    <x v="97"/>
    <x v="88"/>
    <x v="6"/>
    <x v="14"/>
    <x v="10"/>
    <x v="96"/>
    <x v="0"/>
    <x v="0"/>
  </r>
  <r>
    <x v="102"/>
    <x v="98"/>
    <x v="89"/>
    <x v="10"/>
    <x v="14"/>
    <x v="10"/>
    <x v="97"/>
    <x v="0"/>
    <x v="0"/>
  </r>
  <r>
    <x v="103"/>
    <x v="44"/>
    <x v="90"/>
    <x v="10"/>
    <x v="14"/>
    <x v="10"/>
    <x v="98"/>
    <x v="0"/>
    <x v="0"/>
  </r>
  <r>
    <x v="104"/>
    <x v="99"/>
    <x v="46"/>
    <x v="30"/>
    <x v="14"/>
    <x v="10"/>
    <x v="99"/>
    <x v="0"/>
    <x v="2"/>
  </r>
  <r>
    <x v="105"/>
    <x v="100"/>
    <x v="69"/>
    <x v="30"/>
    <x v="14"/>
    <x v="10"/>
    <x v="100"/>
    <x v="0"/>
    <x v="2"/>
  </r>
  <r>
    <x v="106"/>
    <x v="47"/>
    <x v="91"/>
    <x v="45"/>
    <x v="14"/>
    <x v="10"/>
    <x v="101"/>
    <x v="0"/>
    <x v="1"/>
  </r>
  <r>
    <x v="107"/>
    <x v="101"/>
    <x v="50"/>
    <x v="29"/>
    <x v="18"/>
    <x v="22"/>
    <x v="40"/>
    <x v="2"/>
    <x v="1"/>
  </r>
  <r>
    <x v="108"/>
    <x v="102"/>
    <x v="92"/>
    <x v="1"/>
    <x v="14"/>
    <x v="10"/>
    <x v="10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9">
    <pivotField compact="0" showAll="0"/>
    <pivotField compact="0" showAll="0"/>
    <pivotField compact="0" showAll="0"/>
    <pivotField compact="0" numFmtId="178" showAll="0"/>
    <pivotField compact="0" showAll="0"/>
    <pivotField compact="0" showAll="0"/>
    <pivotField compact="0" showAll="0"/>
    <pivotField compact="0" showAll="0">
      <items count="4">
        <item x="1"/>
        <item x="0"/>
        <item x="2"/>
        <item t="default"/>
      </items>
    </pivotField>
    <pivotField compact="0"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14:J333" firstHeaderRow="0" firstDataRow="1" firstDataCol="2"/>
  <pivotFields count="9">
    <pivotField axis="axisRow" compact="0" sortType="ascending"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04">
        <item x="19"/>
        <item x="86"/>
        <item x="102"/>
        <item x="35"/>
        <item x="78"/>
        <item x="29"/>
        <item x="16"/>
        <item x="97"/>
        <item x="47"/>
        <item x="72"/>
        <item x="40"/>
        <item x="90"/>
        <item x="80"/>
        <item x="48"/>
        <item x="59"/>
        <item x="77"/>
        <item x="15"/>
        <item x="65"/>
        <item x="63"/>
        <item x="36"/>
        <item x="54"/>
        <item x="24"/>
        <item x="58"/>
        <item x="101"/>
        <item x="56"/>
        <item x="39"/>
        <item x="51"/>
        <item x="13"/>
        <item x="66"/>
        <item x="92"/>
        <item x="1"/>
        <item x="12"/>
        <item x="41"/>
        <item x="83"/>
        <item x="81"/>
        <item x="45"/>
        <item x="70"/>
        <item x="52"/>
        <item x="69"/>
        <item x="10"/>
        <item x="84"/>
        <item x="21"/>
        <item x="87"/>
        <item x="0"/>
        <item x="67"/>
        <item x="74"/>
        <item x="30"/>
        <item x="7"/>
        <item x="11"/>
        <item x="18"/>
        <item x="43"/>
        <item x="61"/>
        <item x="93"/>
        <item x="98"/>
        <item x="73"/>
        <item x="44"/>
        <item x="46"/>
        <item x="60"/>
        <item x="8"/>
        <item x="85"/>
        <item x="26"/>
        <item x="95"/>
        <item x="50"/>
        <item x="75"/>
        <item x="89"/>
        <item x="79"/>
        <item x="82"/>
        <item x="88"/>
        <item x="68"/>
        <item x="3"/>
        <item x="9"/>
        <item x="34"/>
        <item x="22"/>
        <item x="99"/>
        <item x="49"/>
        <item x="76"/>
        <item x="14"/>
        <item x="71"/>
        <item x="4"/>
        <item x="27"/>
        <item x="100"/>
        <item x="31"/>
        <item x="20"/>
        <item x="96"/>
        <item x="32"/>
        <item x="33"/>
        <item x="17"/>
        <item x="23"/>
        <item x="57"/>
        <item x="42"/>
        <item x="55"/>
        <item x="2"/>
        <item x="28"/>
        <item x="64"/>
        <item x="6"/>
        <item x="38"/>
        <item x="53"/>
        <item x="25"/>
        <item x="5"/>
        <item x="91"/>
        <item x="94"/>
        <item x="62"/>
        <item x="37"/>
        <item t="default"/>
      </items>
    </pivotField>
    <pivotField dataField="1" compact="0" showAll="0">
      <items count="94">
        <item x="18"/>
        <item x="79"/>
        <item x="88"/>
        <item x="92"/>
        <item x="74"/>
        <item x="14"/>
        <item x="27"/>
        <item x="47"/>
        <item x="70"/>
        <item x="37"/>
        <item x="82"/>
        <item x="44"/>
        <item x="75"/>
        <item x="91"/>
        <item x="45"/>
        <item x="64"/>
        <item x="23"/>
        <item x="33"/>
        <item x="58"/>
        <item x="13"/>
        <item x="62"/>
        <item x="12"/>
        <item x="57"/>
        <item x="53"/>
        <item x="65"/>
        <item x="50"/>
        <item x="36"/>
        <item x="55"/>
        <item x="1"/>
        <item x="83"/>
        <item x="11"/>
        <item x="38"/>
        <item x="77"/>
        <item x="68"/>
        <item x="76"/>
        <item x="42"/>
        <item x="49"/>
        <item x="20"/>
        <item x="67"/>
        <item x="28"/>
        <item x="48"/>
        <item x="10"/>
        <item x="0"/>
        <item x="59"/>
        <item x="51"/>
        <item x="7"/>
        <item x="81"/>
        <item x="46"/>
        <item x="78"/>
        <item x="89"/>
        <item x="41"/>
        <item x="69"/>
        <item x="90"/>
        <item x="60"/>
        <item x="84"/>
        <item x="87"/>
        <item x="72"/>
        <item x="43"/>
        <item x="17"/>
        <item x="25"/>
        <item x="40"/>
        <item x="21"/>
        <item x="39"/>
        <item x="71"/>
        <item x="73"/>
        <item x="4"/>
        <item x="80"/>
        <item x="86"/>
        <item x="3"/>
        <item x="54"/>
        <item x="30"/>
        <item x="32"/>
        <item x="31"/>
        <item x="8"/>
        <item x="2"/>
        <item x="9"/>
        <item x="66"/>
        <item x="6"/>
        <item x="19"/>
        <item x="63"/>
        <item x="5"/>
        <item x="29"/>
        <item x="24"/>
        <item x="16"/>
        <item x="52"/>
        <item x="15"/>
        <item x="26"/>
        <item x="35"/>
        <item x="22"/>
        <item x="85"/>
        <item x="56"/>
        <item x="61"/>
        <item x="34"/>
        <item t="default"/>
      </items>
    </pivotField>
    <pivotField compact="0" numFmtId="178" showAll="0"/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  <pivotField axis="axisRow" dataField="1" compact="0" showAll="0">
      <items count="4">
        <item x="1"/>
        <item x="2"/>
        <item x="0"/>
        <item t="default"/>
      </items>
    </pivotField>
  </pivotFields>
  <rowFields count="2">
    <field x="0"/>
    <field x="8"/>
  </rowFields>
  <rowItems count="219">
    <i>
      <x v="20"/>
    </i>
    <i r="1">
      <x/>
    </i>
    <i>
      <x v="96"/>
    </i>
    <i r="1">
      <x/>
    </i>
    <i>
      <x v="45"/>
    </i>
    <i r="1">
      <x/>
    </i>
    <i>
      <x v="52"/>
    </i>
    <i r="1">
      <x/>
    </i>
    <i>
      <x v="60"/>
    </i>
    <i r="1">
      <x/>
    </i>
    <i>
      <x v="53"/>
    </i>
    <i r="1">
      <x/>
    </i>
    <i>
      <x v="87"/>
    </i>
    <i r="1">
      <x/>
    </i>
    <i>
      <x v="9"/>
    </i>
    <i r="1">
      <x v="2"/>
    </i>
    <i>
      <x v="31"/>
    </i>
    <i r="1">
      <x/>
    </i>
    <i>
      <x v="34"/>
    </i>
    <i r="1">
      <x/>
    </i>
    <i>
      <x v="79"/>
    </i>
    <i r="1">
      <x/>
    </i>
    <i>
      <x v="21"/>
    </i>
    <i r="1">
      <x/>
    </i>
    <i>
      <x v="48"/>
    </i>
    <i r="1">
      <x/>
    </i>
    <i>
      <x v="46"/>
    </i>
    <i r="1">
      <x/>
    </i>
    <i>
      <x v="89"/>
    </i>
    <i r="1">
      <x v="2"/>
    </i>
    <i>
      <x v="64"/>
    </i>
    <i r="1">
      <x/>
    </i>
    <i>
      <x v="63"/>
    </i>
    <i r="1">
      <x/>
    </i>
    <i>
      <x v="40"/>
    </i>
    <i r="1">
      <x/>
    </i>
    <i>
      <x v="106"/>
    </i>
    <i r="1">
      <x/>
    </i>
    <i>
      <x v="38"/>
    </i>
    <i r="1">
      <x/>
    </i>
    <i>
      <x v="95"/>
    </i>
    <i r="1">
      <x/>
    </i>
    <i>
      <x v="59"/>
    </i>
    <i r="1">
      <x v="2"/>
    </i>
    <i>
      <x v="5"/>
    </i>
    <i r="1">
      <x/>
    </i>
    <i>
      <x v="99"/>
    </i>
    <i r="1">
      <x/>
    </i>
    <i>
      <x v="104"/>
    </i>
    <i r="1">
      <x/>
    </i>
    <i>
      <x v="84"/>
    </i>
    <i r="1">
      <x/>
    </i>
    <i>
      <x v="23"/>
    </i>
    <i r="1">
      <x/>
    </i>
    <i>
      <x v="69"/>
    </i>
    <i r="1">
      <x/>
    </i>
    <i>
      <x v="108"/>
    </i>
    <i r="1">
      <x/>
    </i>
    <i>
      <x v="42"/>
    </i>
    <i r="1">
      <x/>
    </i>
    <i>
      <x v="77"/>
    </i>
    <i r="1">
      <x/>
    </i>
    <i>
      <x v="22"/>
    </i>
    <i r="1">
      <x/>
    </i>
    <i>
      <x v="43"/>
    </i>
    <i r="1">
      <x/>
    </i>
    <i>
      <x v="81"/>
    </i>
    <i r="1">
      <x/>
    </i>
    <i>
      <x v="47"/>
    </i>
    <i r="1">
      <x/>
    </i>
    <i>
      <x v="19"/>
    </i>
    <i r="1">
      <x/>
    </i>
    <i>
      <x v="51"/>
    </i>
    <i r="1">
      <x/>
    </i>
    <i>
      <x v="39"/>
    </i>
    <i r="1">
      <x/>
    </i>
    <i>
      <x v="15"/>
    </i>
    <i r="1">
      <x/>
    </i>
    <i>
      <x v="55"/>
    </i>
    <i r="1">
      <x/>
    </i>
    <i>
      <x v="62"/>
    </i>
    <i r="1">
      <x v="2"/>
    </i>
    <i>
      <x v="86"/>
    </i>
    <i r="1">
      <x v="1"/>
    </i>
    <i>
      <x v="102"/>
    </i>
    <i r="1">
      <x/>
    </i>
    <i>
      <x v="73"/>
    </i>
    <i r="1">
      <x v="2"/>
    </i>
    <i>
      <x v="32"/>
    </i>
    <i r="1">
      <x/>
    </i>
    <i>
      <x v="2"/>
    </i>
    <i r="1">
      <x v="2"/>
    </i>
    <i>
      <x v="35"/>
    </i>
    <i r="1">
      <x/>
    </i>
    <i>
      <x v="44"/>
    </i>
    <i r="1">
      <x/>
    </i>
    <i>
      <x v="4"/>
    </i>
    <i r="1">
      <x v="2"/>
    </i>
    <i>
      <x v="56"/>
    </i>
    <i r="1">
      <x v="2"/>
    </i>
    <i>
      <x v="1"/>
    </i>
    <i r="1">
      <x v="2"/>
    </i>
    <i>
      <x v="41"/>
    </i>
    <i r="1">
      <x/>
    </i>
    <i>
      <x v="18"/>
    </i>
    <i r="1">
      <x/>
    </i>
    <i>
      <x v="50"/>
    </i>
    <i r="1">
      <x/>
    </i>
    <i>
      <x v="17"/>
    </i>
    <i r="1">
      <x/>
    </i>
    <i>
      <x v="36"/>
    </i>
    <i r="1">
      <x/>
    </i>
    <i>
      <x v="74"/>
    </i>
    <i r="1">
      <x v="2"/>
    </i>
    <i>
      <x v="76"/>
    </i>
    <i r="1">
      <x/>
    </i>
    <i>
      <x v="33"/>
    </i>
    <i r="1">
      <x v="2"/>
    </i>
    <i>
      <x v="49"/>
    </i>
    <i r="1">
      <x v="2"/>
    </i>
    <i>
      <x v="13"/>
    </i>
    <i r="1">
      <x/>
    </i>
    <i>
      <x v="14"/>
    </i>
    <i r="1">
      <x v="2"/>
    </i>
    <i>
      <x v="101"/>
    </i>
    <i r="1">
      <x v="2"/>
    </i>
    <i>
      <x v="70"/>
    </i>
    <i r="1">
      <x/>
    </i>
    <i>
      <x v="94"/>
    </i>
    <i r="1">
      <x/>
    </i>
    <i>
      <x v="3"/>
    </i>
    <i r="1">
      <x v="2"/>
    </i>
    <i>
      <x v="37"/>
    </i>
    <i r="1">
      <x/>
    </i>
    <i>
      <x v="83"/>
    </i>
    <i r="1">
      <x v="1"/>
    </i>
    <i>
      <x v="29"/>
    </i>
    <i r="1">
      <x v="2"/>
    </i>
    <i>
      <x v="92"/>
    </i>
    <i r="1">
      <x v="1"/>
    </i>
    <i>
      <x v="85"/>
    </i>
    <i r="1">
      <x v="1"/>
    </i>
    <i>
      <x v="105"/>
    </i>
    <i r="1">
      <x v="1"/>
    </i>
    <i>
      <x v="103"/>
    </i>
    <i r="1">
      <x v="1"/>
    </i>
    <i>
      <x v="58"/>
    </i>
    <i r="1">
      <x/>
    </i>
    <i>
      <x v="107"/>
    </i>
    <i r="1">
      <x v="2"/>
    </i>
    <i>
      <x v="7"/>
    </i>
    <i r="1">
      <x/>
    </i>
    <i>
      <x v="57"/>
    </i>
    <i r="1">
      <x v="2"/>
    </i>
    <i>
      <x v="61"/>
    </i>
    <i r="1">
      <x v="2"/>
    </i>
    <i>
      <x v="98"/>
    </i>
    <i r="1">
      <x v="1"/>
    </i>
    <i>
      <x v="88"/>
    </i>
    <i r="1">
      <x v="1"/>
    </i>
    <i>
      <x v="10"/>
    </i>
    <i r="1">
      <x v="1"/>
    </i>
    <i>
      <x v="80"/>
    </i>
    <i r="1">
      <x v="2"/>
    </i>
    <i>
      <x v="54"/>
    </i>
    <i r="1">
      <x v="1"/>
    </i>
    <i>
      <x v="90"/>
    </i>
    <i r="1">
      <x v="2"/>
    </i>
    <i>
      <x v="26"/>
    </i>
    <i r="1">
      <x v="2"/>
    </i>
    <i>
      <x v="100"/>
    </i>
    <i r="1">
      <x v="1"/>
    </i>
    <i>
      <x v="72"/>
    </i>
    <i r="1">
      <x/>
    </i>
    <i>
      <x v="24"/>
    </i>
    <i r="1">
      <x/>
    </i>
    <i>
      <x v="12"/>
    </i>
    <i r="1">
      <x v="1"/>
    </i>
    <i>
      <x v="28"/>
    </i>
    <i r="1">
      <x v="2"/>
    </i>
    <i>
      <x v="27"/>
    </i>
    <i r="1">
      <x v="2"/>
    </i>
    <i>
      <x v="68"/>
    </i>
    <i r="1">
      <x/>
    </i>
    <i>
      <x v="67"/>
    </i>
    <i r="1">
      <x/>
    </i>
    <i>
      <x v="30"/>
    </i>
    <i r="1">
      <x/>
    </i>
    <i>
      <x v="97"/>
    </i>
    <i r="1">
      <x v="1"/>
    </i>
    <i>
      <x v="25"/>
    </i>
    <i r="1">
      <x v="1"/>
    </i>
    <i>
      <x v="91"/>
    </i>
    <i r="1">
      <x v="2"/>
    </i>
    <i>
      <x v="82"/>
    </i>
    <i r="1">
      <x/>
    </i>
    <i>
      <x v="66"/>
    </i>
    <i r="1">
      <x v="2"/>
    </i>
    <i>
      <x v="8"/>
    </i>
    <i r="1">
      <x v="2"/>
    </i>
    <i>
      <x v="71"/>
    </i>
    <i r="1">
      <x v="2"/>
    </i>
    <i>
      <x v="6"/>
    </i>
    <i r="1">
      <x v="2"/>
    </i>
    <i>
      <x v="93"/>
    </i>
    <i r="1">
      <x v="1"/>
    </i>
    <i>
      <x v="11"/>
    </i>
    <i r="1">
      <x v="1"/>
    </i>
    <i>
      <x v="75"/>
    </i>
    <i r="1">
      <x v="1"/>
    </i>
    <i>
      <x v="78"/>
    </i>
    <i r="1">
      <x v="1"/>
    </i>
    <i>
      <x v="65"/>
    </i>
    <i r="1">
      <x v="2"/>
    </i>
    <i>
      <x v="16"/>
    </i>
    <i r="1">
      <x v="2"/>
    </i>
    <i>
      <x/>
    </i>
    <i r="1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Current price" fld="1" subtotal="average" baseField="0" baseItem="0"/>
    <dataField name="Average of Rating category" fld="7" subtotal="average" baseField="0" baseItem="0"/>
    <dataField name="Average of Discount category" fld="8" subtotal="average" baseField="0" baseItem="0"/>
    <dataField name="Average of old price" fld="2" subtotal="average" baseField="0" baseItem="0"/>
    <dataField name="Count of Current price" fld="1" subtotal="count" baseField="0" baseItem="0"/>
    <dataField name="Count of Rating category2" fld="7" subtotal="count" baseField="0" baseItem="0"/>
    <dataField name="Count of Rating category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113" totalsRowShown="0">
  <autoFilter xmlns:etc="http://www.wps.cn/officeDocument/2017/etCustomData" ref="A1:I113" etc:filterBottomFollowUsedRange="0"/>
  <tableColumns count="9">
    <tableColumn id="1" name="Product"/>
    <tableColumn id="2" name="Current price"/>
    <tableColumn id="3" name="old price"/>
    <tableColumn id="4" name="Discount" dataDxfId="0"/>
    <tableColumn id="5" name="Review"/>
    <tableColumn id="6" name="Ratingd"/>
    <tableColumn id="7" name="Discount Amount(Ksh)" dataDxfId="1">
      <calculatedColumnFormula>C2-B2</calculatedColumnFormula>
    </tableColumn>
    <tableColumn id="8" name="Rating category">
      <calculatedColumnFormula array="1">_xlfn.IFS(F2&lt;3,"Poor",F2&lt;=4.4,"Average",F2&gt;=4.5,"Excellent")</calculatedColumnFormula>
    </tableColumn>
    <tableColumn id="9" name="Discount category">
      <calculatedColumnFormula array="1">_xlfn.IFS(D2&lt;20%,"Low Discount",D2&lt;=40%,"Medium Discount",D2&gt;40%,"High Discount")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C3" sqref="C3"/>
    </sheetView>
  </sheetViews>
  <sheetFormatPr defaultColWidth="8.72727272727273" defaultRowHeight="14.5" outlineLevelCol="2"/>
  <cols>
    <col min="1" max="1" width="19.3636363636364"/>
    <col min="2" max="2" width="19.2727272727273"/>
    <col min="3" max="5" width="23.3636363636364"/>
    <col min="6" max="9" width="27.7272727272727"/>
    <col min="10" max="10" width="32.9090909090909"/>
    <col min="11" max="11" width="30.6363636363636"/>
    <col min="12" max="12" width="28.5454545454545"/>
  </cols>
  <sheetData>
    <row r="3" spans="1:3">
      <c r="A3" s="3"/>
      <c r="B3" s="4"/>
      <c r="C3" s="5"/>
    </row>
    <row r="4" spans="1:3">
      <c r="A4" s="6"/>
      <c r="B4" s="7"/>
      <c r="C4" s="8"/>
    </row>
    <row r="5" spans="1:3">
      <c r="A5" s="6"/>
      <c r="B5" s="7"/>
      <c r="C5" s="8"/>
    </row>
    <row r="6" spans="1:3">
      <c r="A6" s="6"/>
      <c r="B6" s="7"/>
      <c r="C6" s="8"/>
    </row>
    <row r="7" spans="1:3">
      <c r="A7" s="6"/>
      <c r="B7" s="7"/>
      <c r="C7" s="8"/>
    </row>
    <row r="8" spans="1:3">
      <c r="A8" s="6"/>
      <c r="B8" s="7"/>
      <c r="C8" s="8"/>
    </row>
    <row r="9" spans="1:3">
      <c r="A9" s="6"/>
      <c r="B9" s="7"/>
      <c r="C9" s="8"/>
    </row>
    <row r="10" spans="1:3">
      <c r="A10" s="6"/>
      <c r="B10" s="7"/>
      <c r="C10" s="8"/>
    </row>
    <row r="11" spans="1:3">
      <c r="A11" s="6"/>
      <c r="B11" s="7"/>
      <c r="C11" s="8"/>
    </row>
    <row r="12" spans="1:3">
      <c r="A12" s="6"/>
      <c r="B12" s="7"/>
      <c r="C12" s="8"/>
    </row>
    <row r="13" spans="1:3">
      <c r="A13" s="6"/>
      <c r="B13" s="7"/>
      <c r="C13" s="8"/>
    </row>
    <row r="14" spans="1:3">
      <c r="A14" s="6"/>
      <c r="B14" s="7"/>
      <c r="C14" s="8"/>
    </row>
    <row r="15" spans="1:3">
      <c r="A15" s="6"/>
      <c r="B15" s="7"/>
      <c r="C15" s="8"/>
    </row>
    <row r="16" spans="1:3">
      <c r="A16" s="6"/>
      <c r="B16" s="7"/>
      <c r="C16" s="8"/>
    </row>
    <row r="17" spans="1:3">
      <c r="A17" s="6"/>
      <c r="B17" s="7"/>
      <c r="C17" s="8"/>
    </row>
    <row r="18" spans="1:3">
      <c r="A18" s="6"/>
      <c r="B18" s="7"/>
      <c r="C18" s="8"/>
    </row>
    <row r="19" spans="1:3">
      <c r="A19" s="6"/>
      <c r="B19" s="7"/>
      <c r="C19" s="8"/>
    </row>
    <row r="20" spans="1:3">
      <c r="A20" s="9"/>
      <c r="B20" s="10"/>
      <c r="C20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3"/>
  <sheetViews>
    <sheetView tabSelected="1" zoomScaleSheetLayoutView="60" workbookViewId="0">
      <pane ySplit="1" topLeftCell="A97" activePane="bottomLeft" state="frozen"/>
      <selection/>
      <selection pane="bottomLeft" activeCell="B1" sqref="B$1:B$1048576"/>
    </sheetView>
  </sheetViews>
  <sheetFormatPr defaultColWidth="9.81818181818182" defaultRowHeight="14.5"/>
  <cols>
    <col min="1" max="1" width="98" customWidth="1"/>
    <col min="2" max="2" width="99.8636363636364" customWidth="1"/>
    <col min="3" max="3" width="19.3636363636364"/>
    <col min="4" max="4" width="27.7272727272727" style="1"/>
    <col min="5" max="10" width="27.7272727272727"/>
  </cols>
  <sheetData>
    <row r="1" spans="1:9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950</v>
      </c>
      <c r="C2" s="2">
        <v>1525</v>
      </c>
      <c r="D2" s="1">
        <v>0.38</v>
      </c>
      <c r="E2">
        <v>2</v>
      </c>
      <c r="F2">
        <v>4.5</v>
      </c>
      <c r="G2" s="2">
        <f>C2-B2</f>
        <v>575</v>
      </c>
      <c r="H2" t="str" cm="1">
        <f t="array" ref="H2">_xlfn.IFS(F2&lt;3,"Poor",F2&lt;=4.4,"Average",F2&gt;=4.5,"Excellent")</f>
        <v>Excellent</v>
      </c>
      <c r="I2" t="str" cm="1">
        <f t="array" ref="I2">_xlfn.IFS(D2&lt;20%,"Low Discount",D2&lt;=40%,"Medium Discount",D2&gt;40%,"High Discount")</f>
        <v>Medium Discount</v>
      </c>
    </row>
    <row r="3" spans="1:9">
      <c r="A3" t="s">
        <v>10</v>
      </c>
      <c r="B3">
        <v>527</v>
      </c>
      <c r="C3">
        <v>999</v>
      </c>
      <c r="D3" s="1">
        <v>0.47</v>
      </c>
      <c r="E3">
        <v>14</v>
      </c>
      <c r="F3">
        <v>4.1</v>
      </c>
      <c r="G3" s="2">
        <f t="shared" ref="G3:G34" si="0">C3-B3</f>
        <v>472</v>
      </c>
      <c r="H3" t="str" cm="1">
        <f t="array" ref="H3">_xlfn.IFS(F3&lt;3,"Poor",F3&lt;=4.4,"Average",F3&gt;=4.5,"Excellent")</f>
        <v>Average</v>
      </c>
      <c r="I3" t="str" cm="1">
        <f t="array" ref="I3">_xlfn.IFS(D3&lt;20%,"Low Discount",D3&lt;=40%,"Medium Discount",D3&gt;40%,"High Discount")</f>
        <v>High Discount</v>
      </c>
    </row>
    <row r="4" spans="1:9">
      <c r="A4" t="s">
        <v>11</v>
      </c>
      <c r="B4" s="2">
        <v>2199</v>
      </c>
      <c r="C4" s="2">
        <v>2923</v>
      </c>
      <c r="D4" s="1">
        <v>0.25</v>
      </c>
      <c r="E4">
        <v>24</v>
      </c>
      <c r="F4">
        <v>4.6</v>
      </c>
      <c r="G4" s="2">
        <f t="shared" si="0"/>
        <v>724</v>
      </c>
      <c r="H4" t="str" cm="1">
        <f t="array" ref="H4">_xlfn.IFS(F4&lt;3,"Poor",F4&lt;=4.4,"Average",F4&gt;=4.5,"Excellent")</f>
        <v>Excellent</v>
      </c>
      <c r="I4" t="str" cm="1">
        <f t="array" ref="I4">_xlfn.IFS(D4&lt;20%,"Low Discount",D4&lt;=40%,"Medium Discount",D4&gt;40%,"High Discount")</f>
        <v>Medium Discount</v>
      </c>
    </row>
    <row r="5" spans="1:9">
      <c r="A5" t="s">
        <v>12</v>
      </c>
      <c r="B5" s="2">
        <v>1580</v>
      </c>
      <c r="C5" s="2">
        <v>2499</v>
      </c>
      <c r="D5" s="1">
        <v>0.37</v>
      </c>
      <c r="E5">
        <v>7</v>
      </c>
      <c r="F5">
        <v>4.7</v>
      </c>
      <c r="G5" s="2">
        <f t="shared" si="0"/>
        <v>919</v>
      </c>
      <c r="H5" t="str" cm="1">
        <f t="array" ref="H5">_xlfn.IFS(F5&lt;3,"Poor",F5&lt;=4.4,"Average",F5&gt;=4.5,"Excellent")</f>
        <v>Excellent</v>
      </c>
      <c r="I5" t="str" cm="1">
        <f t="array" ref="I5">_xlfn.IFS(D5&lt;20%,"Low Discount",D5&lt;=40%,"Medium Discount",D5&gt;40%,"High Discount")</f>
        <v>Medium Discount</v>
      </c>
    </row>
    <row r="6" spans="1:9">
      <c r="A6" t="s">
        <v>13</v>
      </c>
      <c r="B6" s="2">
        <v>1740</v>
      </c>
      <c r="C6" s="2">
        <v>2356</v>
      </c>
      <c r="D6" s="1">
        <v>0.26</v>
      </c>
      <c r="E6">
        <v>5</v>
      </c>
      <c r="F6">
        <v>4.8</v>
      </c>
      <c r="G6" s="2">
        <f t="shared" si="0"/>
        <v>616</v>
      </c>
      <c r="H6" t="str" cm="1">
        <f t="array" ref="H6">_xlfn.IFS(F6&lt;3,"Poor",F6&lt;=4.4,"Average",F6&gt;=4.5,"Excellent")</f>
        <v>Excellent</v>
      </c>
      <c r="I6" t="str" cm="1">
        <f t="array" ref="I6">_xlfn.IFS(D6&lt;20%,"Low Discount",D6&lt;=40%,"Medium Discount",D6&gt;40%,"High Discount")</f>
        <v>Medium Discount</v>
      </c>
    </row>
    <row r="7" spans="1:9">
      <c r="A7" t="s">
        <v>14</v>
      </c>
      <c r="B7" s="2">
        <v>2999</v>
      </c>
      <c r="C7" s="2">
        <v>3290</v>
      </c>
      <c r="D7" s="1">
        <v>0.09</v>
      </c>
      <c r="E7">
        <v>15</v>
      </c>
      <c r="F7">
        <v>4</v>
      </c>
      <c r="G7" s="2">
        <f t="shared" si="0"/>
        <v>291</v>
      </c>
      <c r="H7" t="str" cm="1">
        <f t="array" ref="H7">_xlfn.IFS(F7&lt;3,"Poor",F7&lt;=4.4,"Average",F7&gt;=4.5,"Excellent")</f>
        <v>Average</v>
      </c>
      <c r="I7" t="str" cm="1">
        <f t="array" ref="I7">_xlfn.IFS(D7&lt;20%,"Low Discount",D7&lt;=40%,"Medium Discount",D7&gt;40%,"High Discount")</f>
        <v>Low Discount</v>
      </c>
    </row>
    <row r="8" spans="1:9">
      <c r="A8" t="s">
        <v>15</v>
      </c>
      <c r="B8" s="2">
        <v>2319</v>
      </c>
      <c r="C8" s="2">
        <v>3032</v>
      </c>
      <c r="D8" s="1">
        <v>0.24</v>
      </c>
      <c r="E8">
        <v>55</v>
      </c>
      <c r="F8">
        <v>4.6</v>
      </c>
      <c r="G8" s="2">
        <f t="shared" si="0"/>
        <v>713</v>
      </c>
      <c r="H8" t="str" cm="1">
        <f t="array" ref="H8">_xlfn.IFS(F8&lt;3,"Poor",F8&lt;=4.4,"Average",F8&gt;=4.5,"Excellent")</f>
        <v>Excellent</v>
      </c>
      <c r="I8" t="str" cm="1">
        <f t="array" ref="I8">_xlfn.IFS(D8&lt;20%,"Low Discount",D8&lt;=40%,"Medium Discount",D8&gt;40%,"High Discount")</f>
        <v>Medium Discount</v>
      </c>
    </row>
    <row r="9" spans="1:9">
      <c r="A9" t="s">
        <v>16</v>
      </c>
      <c r="B9">
        <v>988</v>
      </c>
      <c r="C9" s="2">
        <v>1580</v>
      </c>
      <c r="D9" s="1">
        <v>0.37</v>
      </c>
      <c r="E9">
        <v>2</v>
      </c>
      <c r="F9">
        <v>4</v>
      </c>
      <c r="G9" s="2">
        <f t="shared" si="0"/>
        <v>592</v>
      </c>
      <c r="H9" t="str" cm="1">
        <f t="array" ref="H9">_xlfn.IFS(F9&lt;3,"Poor",F9&lt;=4.4,"Average",F9&gt;=4.5,"Excellent")</f>
        <v>Average</v>
      </c>
      <c r="I9" t="str" cm="1">
        <f t="array" ref="I9">_xlfn.IFS(D9&lt;20%,"Low Discount",D9&lt;=40%,"Medium Discount",D9&gt;40%,"High Discount")</f>
        <v>Medium Discount</v>
      </c>
    </row>
    <row r="10" spans="1:9">
      <c r="A10" t="s">
        <v>17</v>
      </c>
      <c r="B10" s="2">
        <v>1274</v>
      </c>
      <c r="C10" s="2">
        <v>2800</v>
      </c>
      <c r="D10" s="1">
        <v>0.55</v>
      </c>
      <c r="E10">
        <v>5</v>
      </c>
      <c r="F10">
        <v>4.8</v>
      </c>
      <c r="G10" s="2">
        <f t="shared" si="0"/>
        <v>1526</v>
      </c>
      <c r="H10" t="str" cm="1">
        <f t="array" ref="H10">_xlfn.IFS(F10&lt;3,"Poor",F10&lt;=4.4,"Average",F10&gt;=4.5,"Excellent")</f>
        <v>Excellent</v>
      </c>
      <c r="I10" t="str" cm="1">
        <f t="array" ref="I10">_xlfn.IFS(D10&lt;20%,"Low Discount",D10&lt;=40%,"Medium Discount",D10&gt;40%,"High Discount")</f>
        <v>High Discount</v>
      </c>
    </row>
    <row r="11" spans="1:9">
      <c r="A11" t="s">
        <v>18</v>
      </c>
      <c r="B11" s="2">
        <v>1600</v>
      </c>
      <c r="C11" s="2">
        <v>2929</v>
      </c>
      <c r="D11" s="1">
        <v>0.45</v>
      </c>
      <c r="E11">
        <v>5</v>
      </c>
      <c r="F11">
        <v>3.8</v>
      </c>
      <c r="G11" s="2">
        <f t="shared" si="0"/>
        <v>1329</v>
      </c>
      <c r="H11" t="str" cm="1">
        <f t="array" ref="H11">_xlfn.IFS(F11&lt;3,"Poor",F11&lt;=4.4,"Average",F11&gt;=4.5,"Excellent")</f>
        <v>Average</v>
      </c>
      <c r="I11" t="str" cm="1">
        <f t="array" ref="I11">_xlfn.IFS(D11&lt;20%,"Low Discount",D11&lt;=40%,"Medium Discount",D11&gt;40%,"High Discount")</f>
        <v>High Discount</v>
      </c>
    </row>
    <row r="12" spans="1:9">
      <c r="A12" t="s">
        <v>19</v>
      </c>
      <c r="B12">
        <v>799</v>
      </c>
      <c r="C12">
        <v>999</v>
      </c>
      <c r="D12" s="1">
        <v>0.2</v>
      </c>
      <c r="E12">
        <v>12</v>
      </c>
      <c r="F12">
        <v>4.1</v>
      </c>
      <c r="G12" s="2">
        <f t="shared" si="0"/>
        <v>200</v>
      </c>
      <c r="H12" t="str" cm="1">
        <f t="array" ref="H12">_xlfn.IFS(F12&lt;3,"Poor",F12&lt;=4.4,"Average",F12&gt;=4.5,"Excellent")</f>
        <v>Average</v>
      </c>
      <c r="I12" t="str" cm="1">
        <f t="array" ref="I12">_xlfn.IFS(D12&lt;20%,"Low Discount",D12&lt;=40%,"Medium Discount",D12&gt;40%,"High Discount")</f>
        <v>Medium Discount</v>
      </c>
    </row>
    <row r="13" spans="1:9">
      <c r="A13" t="s">
        <v>20</v>
      </c>
      <c r="B13">
        <v>990</v>
      </c>
      <c r="C13" s="2">
        <v>1500</v>
      </c>
      <c r="D13" s="1">
        <v>0.34</v>
      </c>
      <c r="E13">
        <v>39</v>
      </c>
      <c r="F13">
        <v>4.7</v>
      </c>
      <c r="G13" s="2">
        <f t="shared" si="0"/>
        <v>510</v>
      </c>
      <c r="H13" t="str" cm="1">
        <f t="array" ref="H13">_xlfn.IFS(F13&lt;3,"Poor",F13&lt;=4.4,"Average",F13&gt;=4.5,"Excellent")</f>
        <v>Excellent</v>
      </c>
      <c r="I13" t="str" cm="1">
        <f t="array" ref="I13">_xlfn.IFS(D13&lt;20%,"Low Discount",D13&lt;=40%,"Medium Discount",D13&gt;40%,"High Discount")</f>
        <v>Medium Discount</v>
      </c>
    </row>
    <row r="14" spans="1:9">
      <c r="A14" t="s">
        <v>21</v>
      </c>
      <c r="B14">
        <v>552</v>
      </c>
      <c r="C14" s="2">
        <v>1035</v>
      </c>
      <c r="D14" s="1">
        <v>0.47</v>
      </c>
      <c r="E14">
        <v>12</v>
      </c>
      <c r="F14">
        <v>4.8</v>
      </c>
      <c r="G14" s="2">
        <f t="shared" si="0"/>
        <v>483</v>
      </c>
      <c r="H14" t="str" cm="1">
        <f t="array" ref="H14">_xlfn.IFS(F14&lt;3,"Poor",F14&lt;=4.4,"Average",F14&gt;=4.5,"Excellent")</f>
        <v>Excellent</v>
      </c>
      <c r="I14" t="str" cm="1">
        <f t="array" ref="I14">_xlfn.IFS(D14&lt;20%,"Low Discount",D14&lt;=40%,"Medium Discount",D14&gt;40%,"High Discount")</f>
        <v>High Discount</v>
      </c>
    </row>
    <row r="15" spans="1:9">
      <c r="A15" t="s">
        <v>22</v>
      </c>
      <c r="B15">
        <v>501</v>
      </c>
      <c r="C15">
        <v>860</v>
      </c>
      <c r="D15" s="1">
        <v>0.42</v>
      </c>
      <c r="E15">
        <v>6</v>
      </c>
      <c r="F15">
        <v>4.5</v>
      </c>
      <c r="G15" s="2">
        <f t="shared" si="0"/>
        <v>359</v>
      </c>
      <c r="H15" t="str" cm="1">
        <f t="array" ref="H15">_xlfn.IFS(F15&lt;3,"Poor",F15&lt;=4.4,"Average",F15&gt;=4.5,"Excellent")</f>
        <v>Excellent</v>
      </c>
      <c r="I15" t="str" cm="1">
        <f t="array" ref="I15">_xlfn.IFS(D15&lt;20%,"Low Discount",D15&lt;=40%,"Medium Discount",D15&gt;40%,"High Discount")</f>
        <v>High Discount</v>
      </c>
    </row>
    <row r="16" spans="1:9">
      <c r="A16" t="s">
        <v>23</v>
      </c>
      <c r="B16" s="2">
        <v>1680</v>
      </c>
      <c r="C16" s="2">
        <v>2499</v>
      </c>
      <c r="D16" s="1">
        <v>0.33</v>
      </c>
      <c r="E16">
        <v>9</v>
      </c>
      <c r="F16">
        <v>4.2</v>
      </c>
      <c r="G16" s="2">
        <f t="shared" si="0"/>
        <v>819</v>
      </c>
      <c r="H16" t="str" cm="1">
        <f t="array" ref="H16">_xlfn.IFS(F16&lt;3,"Poor",F16&lt;=4.4,"Average",F16&gt;=4.5,"Excellent")</f>
        <v>Average</v>
      </c>
      <c r="I16" t="str" cm="1">
        <f t="array" ref="I16">_xlfn.IFS(D16&lt;20%,"Low Discount",D16&lt;=40%,"Medium Discount",D16&gt;40%,"High Discount")</f>
        <v>Medium Discount</v>
      </c>
    </row>
    <row r="17" spans="1:9">
      <c r="A17" t="s">
        <v>24</v>
      </c>
      <c r="B17">
        <v>332</v>
      </c>
      <c r="C17">
        <v>684</v>
      </c>
      <c r="D17" s="1">
        <v>0.51</v>
      </c>
      <c r="E17">
        <v>2</v>
      </c>
      <c r="F17">
        <v>5</v>
      </c>
      <c r="G17" s="2">
        <f t="shared" si="0"/>
        <v>352</v>
      </c>
      <c r="H17" t="str" cm="1">
        <f t="array" ref="H17">_xlfn.IFS(F17&lt;3,"Poor",F17&lt;=4.4,"Average",F17&gt;=4.5,"Excellent")</f>
        <v>Excellent</v>
      </c>
      <c r="I17" t="str" cm="1">
        <f t="array" ref="I17">_xlfn.IFS(D17&lt;20%,"Low Discount",D17&lt;=40%,"Medium Discount",D17&gt;40%,"High Discount")</f>
        <v>High Discount</v>
      </c>
    </row>
    <row r="18" spans="1:9">
      <c r="A18" t="s">
        <v>25</v>
      </c>
      <c r="B18">
        <v>195</v>
      </c>
      <c r="C18">
        <v>360</v>
      </c>
      <c r="D18" s="1">
        <v>0.46</v>
      </c>
      <c r="E18">
        <v>2</v>
      </c>
      <c r="F18">
        <v>5</v>
      </c>
      <c r="G18" s="2">
        <f t="shared" si="0"/>
        <v>165</v>
      </c>
      <c r="H18" t="str" cm="1">
        <f t="array" ref="H18">_xlfn.IFS(F18&lt;3,"Poor",F18&lt;=4.4,"Average",F18&gt;=4.5,"Excellent")</f>
        <v>Excellent</v>
      </c>
      <c r="I18" t="str" cm="1">
        <f t="array" ref="I18">_xlfn.IFS(D18&lt;20%,"Low Discount",D18&lt;=40%,"Medium Discount",D18&gt;40%,"High Discount")</f>
        <v>High Discount</v>
      </c>
    </row>
    <row r="19" spans="1:9">
      <c r="A19" t="s">
        <v>26</v>
      </c>
      <c r="B19" s="2">
        <v>2025</v>
      </c>
      <c r="C19" s="2">
        <v>3971</v>
      </c>
      <c r="D19" s="1">
        <v>0.49</v>
      </c>
      <c r="E19">
        <v>3</v>
      </c>
      <c r="F19">
        <v>5</v>
      </c>
      <c r="G19" s="2">
        <f t="shared" si="0"/>
        <v>1946</v>
      </c>
      <c r="H19" t="str" cm="1">
        <f t="array" ref="H19">_xlfn.IFS(F19&lt;3,"Poor",F19&lt;=4.4,"Average",F19&gt;=4.5,"Excellent")</f>
        <v>Excellent</v>
      </c>
      <c r="I19" t="str" cm="1">
        <f t="array" ref="I19">_xlfn.IFS(D19&lt;20%,"Low Discount",D19&lt;=40%,"Medium Discount",D19&gt;40%,"High Discount")</f>
        <v>High Discount</v>
      </c>
    </row>
    <row r="20" spans="1:9">
      <c r="A20" t="s">
        <v>27</v>
      </c>
      <c r="B20" s="2">
        <v>2999</v>
      </c>
      <c r="C20" s="2">
        <v>3699</v>
      </c>
      <c r="D20" s="1">
        <v>0.19</v>
      </c>
      <c r="E20">
        <v>5</v>
      </c>
      <c r="F20">
        <v>4.6</v>
      </c>
      <c r="G20" s="2">
        <f t="shared" si="0"/>
        <v>700</v>
      </c>
      <c r="H20" t="str" cm="1">
        <f t="array" ref="H20">_xlfn.IFS(F20&lt;3,"Poor",F20&lt;=4.4,"Average",F20&gt;=4.5,"Excellent")</f>
        <v>Excellent</v>
      </c>
      <c r="I20" t="str" cm="1">
        <f t="array" ref="I20">_xlfn.IFS(D20&lt;20%,"Low Discount",D20&lt;=40%,"Medium Discount",D20&gt;40%,"High Discount")</f>
        <v>Low Discount</v>
      </c>
    </row>
    <row r="21" spans="1:9">
      <c r="A21" t="s">
        <v>28</v>
      </c>
      <c r="B21">
        <v>998</v>
      </c>
      <c r="C21" s="2">
        <v>1966</v>
      </c>
      <c r="D21" s="1">
        <v>0.49</v>
      </c>
      <c r="E21">
        <v>44</v>
      </c>
      <c r="F21">
        <v>4.6</v>
      </c>
      <c r="G21" s="2">
        <f t="shared" si="0"/>
        <v>968</v>
      </c>
      <c r="H21" t="str" cm="1">
        <f t="array" ref="H21">_xlfn.IFS(F21&lt;3,"Poor",F21&lt;=4.4,"Average",F21&gt;=4.5,"Excellent")</f>
        <v>Excellent</v>
      </c>
      <c r="I21" t="str" cm="1">
        <f t="array" ref="I21">_xlfn.IFS(D21&lt;20%,"Low Discount",D21&lt;=40%,"Medium Discount",D21&gt;40%,"High Discount")</f>
        <v>High Discount</v>
      </c>
    </row>
    <row r="22" spans="1:9">
      <c r="A22" t="s">
        <v>29</v>
      </c>
      <c r="B22">
        <v>38</v>
      </c>
      <c r="C22">
        <v>80</v>
      </c>
      <c r="D22" s="1">
        <v>0.53</v>
      </c>
      <c r="E22">
        <v>13</v>
      </c>
      <c r="F22">
        <v>3.3</v>
      </c>
      <c r="G22" s="2">
        <f t="shared" si="0"/>
        <v>42</v>
      </c>
      <c r="H22" t="str" cm="1">
        <f t="array" ref="H22">_xlfn.IFS(F22&lt;3,"Poor",F22&lt;=4.4,"Average",F22&gt;=4.5,"Excellent")</f>
        <v>Average</v>
      </c>
      <c r="I22" t="str" cm="1">
        <f t="array" ref="I22">_xlfn.IFS(D22&lt;20%,"Low Discount",D22&lt;=40%,"Medium Discount",D22&gt;40%,"High Discount")</f>
        <v>High Discount</v>
      </c>
    </row>
    <row r="23" spans="1:9">
      <c r="A23" t="s">
        <v>30</v>
      </c>
      <c r="B23" s="2">
        <v>1860</v>
      </c>
      <c r="C23" s="2">
        <v>3220</v>
      </c>
      <c r="D23" s="1">
        <v>0.42</v>
      </c>
      <c r="E23" t="s">
        <v>31</v>
      </c>
      <c r="F23" t="s">
        <v>31</v>
      </c>
      <c r="G23" s="2">
        <f t="shared" si="0"/>
        <v>1360</v>
      </c>
      <c r="H23" t="str" cm="1">
        <f t="array" ref="H23">_xlfn.IFS(F23&lt;3,"Poor",F23&lt;=4.4,"Average",F23&gt;=4.5,"Excellent")</f>
        <v>Excellent</v>
      </c>
      <c r="I23" t="str" cm="1">
        <f t="array" ref="I23">_xlfn.IFS(D23&lt;20%,"Low Discount",D23&lt;=40%,"Medium Discount",D23&gt;40%,"High Discount")</f>
        <v>High Discount</v>
      </c>
    </row>
    <row r="24" spans="1:9">
      <c r="A24" t="s">
        <v>32</v>
      </c>
      <c r="B24">
        <v>880</v>
      </c>
      <c r="C24" s="2">
        <v>1350</v>
      </c>
      <c r="D24" s="1">
        <v>0.35</v>
      </c>
      <c r="E24">
        <v>6</v>
      </c>
      <c r="F24">
        <v>4</v>
      </c>
      <c r="G24" s="2">
        <f t="shared" si="0"/>
        <v>470</v>
      </c>
      <c r="H24" t="str" cm="1">
        <f t="array" ref="H24">_xlfn.IFS(F24&lt;3,"Poor",F24&lt;=4.4,"Average",F24&gt;=4.5,"Excellent")</f>
        <v>Average</v>
      </c>
      <c r="I24" t="str" cm="1">
        <f t="array" ref="I24">_xlfn.IFS(D24&lt;20%,"Low Discount",D24&lt;=40%,"Medium Discount",D24&gt;40%,"High Discount")</f>
        <v>Medium Discount</v>
      </c>
    </row>
    <row r="25" spans="1:9">
      <c r="A25" t="s">
        <v>33</v>
      </c>
      <c r="B25" s="2">
        <v>1650</v>
      </c>
      <c r="C25" s="2">
        <v>2150</v>
      </c>
      <c r="D25" s="1">
        <v>0.23</v>
      </c>
      <c r="E25">
        <v>14</v>
      </c>
      <c r="F25">
        <v>4.4</v>
      </c>
      <c r="G25" s="2">
        <f t="shared" si="0"/>
        <v>500</v>
      </c>
      <c r="H25" t="str" cm="1">
        <f t="array" ref="H25">_xlfn.IFS(F25&lt;3,"Poor",F25&lt;=4.4,"Average",F25&gt;=4.5,"Excellent")</f>
        <v>Average</v>
      </c>
      <c r="I25" t="str" cm="1">
        <f t="array" ref="I25">_xlfn.IFS(D25&lt;20%,"Low Discount",D25&lt;=40%,"Medium Discount",D25&gt;40%,"High Discount")</f>
        <v>Medium Discount</v>
      </c>
    </row>
    <row r="26" spans="1:9">
      <c r="A26" t="s">
        <v>34</v>
      </c>
      <c r="B26" s="2">
        <v>2048</v>
      </c>
      <c r="C26" s="2">
        <v>4500</v>
      </c>
      <c r="D26" s="1">
        <v>0.54</v>
      </c>
      <c r="E26">
        <v>7</v>
      </c>
      <c r="F26">
        <v>4.3</v>
      </c>
      <c r="G26" s="2">
        <f t="shared" si="0"/>
        <v>2452</v>
      </c>
      <c r="H26" t="str" cm="1">
        <f t="array" ref="H26">_xlfn.IFS(F26&lt;3,"Poor",F26&lt;=4.4,"Average",F26&gt;=4.5,"Excellent")</f>
        <v>Average</v>
      </c>
      <c r="I26" t="str" cm="1">
        <f t="array" ref="I26">_xlfn.IFS(D26&lt;20%,"Low Discount",D26&lt;=40%,"Medium Discount",D26&gt;40%,"High Discount")</f>
        <v>High Discount</v>
      </c>
    </row>
    <row r="27" spans="1:9">
      <c r="A27" t="s">
        <v>35</v>
      </c>
      <c r="B27">
        <v>420</v>
      </c>
      <c r="C27">
        <v>647</v>
      </c>
      <c r="D27" s="1">
        <v>0.35</v>
      </c>
      <c r="E27">
        <v>49</v>
      </c>
      <c r="F27">
        <v>4.6</v>
      </c>
      <c r="G27" s="2">
        <f t="shared" si="0"/>
        <v>227</v>
      </c>
      <c r="H27" t="str" cm="1">
        <f t="array" ref="H27">_xlfn.IFS(F27&lt;3,"Poor",F27&lt;=4.4,"Average",F27&gt;=4.5,"Excellent")</f>
        <v>Excellent</v>
      </c>
      <c r="I27" t="str" cm="1">
        <f t="array" ref="I27">_xlfn.IFS(D27&lt;20%,"Low Discount",D27&lt;=40%,"Medium Discount",D27&gt;40%,"High Discount")</f>
        <v>Medium Discount</v>
      </c>
    </row>
    <row r="28" spans="1:9">
      <c r="A28" t="s">
        <v>36</v>
      </c>
      <c r="B28" s="2">
        <v>2880</v>
      </c>
      <c r="C28" s="2">
        <v>3520</v>
      </c>
      <c r="D28" s="1">
        <v>0.18</v>
      </c>
      <c r="E28">
        <v>12</v>
      </c>
      <c r="F28">
        <v>3.8</v>
      </c>
      <c r="G28" s="2">
        <f t="shared" si="0"/>
        <v>640</v>
      </c>
      <c r="H28" t="str" cm="1">
        <f t="array" ref="H28">_xlfn.IFS(F28&lt;3,"Poor",F28&lt;=4.4,"Average",F28&gt;=4.5,"Excellent")</f>
        <v>Average</v>
      </c>
      <c r="I28" t="str" cm="1">
        <f t="array" ref="I28">_xlfn.IFS(D28&lt;20%,"Low Discount",D28&lt;=40%,"Medium Discount",D28&gt;40%,"High Discount")</f>
        <v>Low Discount</v>
      </c>
    </row>
    <row r="29" spans="1:9">
      <c r="A29" t="s">
        <v>37</v>
      </c>
      <c r="B29" s="2">
        <v>1350</v>
      </c>
      <c r="C29" s="2">
        <v>1990</v>
      </c>
      <c r="D29" s="1">
        <v>0.32</v>
      </c>
      <c r="E29">
        <v>13</v>
      </c>
      <c r="F29">
        <v>3.8</v>
      </c>
      <c r="G29" s="2">
        <f t="shared" si="0"/>
        <v>640</v>
      </c>
      <c r="H29" t="str" cm="1">
        <f t="array" ref="H29">_xlfn.IFS(F29&lt;3,"Poor",F29&lt;=4.4,"Average",F29&gt;=4.5,"Excellent")</f>
        <v>Average</v>
      </c>
      <c r="I29" t="str" cm="1">
        <f t="array" ref="I29">_xlfn.IFS(D29&lt;20%,"Low Discount",D29&lt;=40%,"Medium Discount",D29&gt;40%,"High Discount")</f>
        <v>Medium Discount</v>
      </c>
    </row>
    <row r="30" spans="1:9">
      <c r="A30" t="s">
        <v>38</v>
      </c>
      <c r="B30" s="2">
        <v>1758</v>
      </c>
      <c r="C30" s="2">
        <v>2499</v>
      </c>
      <c r="D30" s="1">
        <v>0.3</v>
      </c>
      <c r="E30">
        <v>20</v>
      </c>
      <c r="F30">
        <v>4.1</v>
      </c>
      <c r="G30" s="2">
        <f t="shared" si="0"/>
        <v>741</v>
      </c>
      <c r="H30" t="str" cm="1">
        <f t="array" ref="H30">_xlfn.IFS(F30&lt;3,"Poor",F30&lt;=4.4,"Average",F30&gt;=4.5,"Excellent")</f>
        <v>Average</v>
      </c>
      <c r="I30" t="str" cm="1">
        <f t="array" ref="I30">_xlfn.IFS(D30&lt;20%,"Low Discount",D30&lt;=40%,"Medium Discount",D30&gt;40%,"High Discount")</f>
        <v>Medium Discount</v>
      </c>
    </row>
    <row r="31" spans="1:9">
      <c r="A31" t="s">
        <v>39</v>
      </c>
      <c r="B31" s="2">
        <v>2200</v>
      </c>
      <c r="C31" s="2">
        <v>4080</v>
      </c>
      <c r="D31" s="1">
        <v>0.46</v>
      </c>
      <c r="E31" t="s">
        <v>31</v>
      </c>
      <c r="F31" t="s">
        <v>31</v>
      </c>
      <c r="G31" s="2">
        <f t="shared" si="0"/>
        <v>1880</v>
      </c>
      <c r="H31" t="str" cm="1">
        <f t="array" ref="H31">_xlfn.IFS(F31&lt;3,"Poor",F31&lt;=4.4,"Average",F31&gt;=4.5,"Excellent")</f>
        <v>Excellent</v>
      </c>
      <c r="I31" t="str" cm="1">
        <f t="array" ref="I31">_xlfn.IFS(D31&lt;20%,"Low Discount",D31&lt;=40%,"Medium Discount",D31&gt;40%,"High Discount")</f>
        <v>High Discount</v>
      </c>
    </row>
    <row r="32" spans="1:9">
      <c r="A32" t="s">
        <v>40</v>
      </c>
      <c r="B32">
        <v>185</v>
      </c>
      <c r="C32">
        <v>382</v>
      </c>
      <c r="D32" s="1">
        <v>0.52</v>
      </c>
      <c r="E32">
        <v>9</v>
      </c>
      <c r="F32">
        <v>4.3</v>
      </c>
      <c r="G32" s="2">
        <f t="shared" si="0"/>
        <v>197</v>
      </c>
      <c r="H32" t="str" cm="1">
        <f t="array" ref="H32">_xlfn.IFS(F32&lt;3,"Poor",F32&lt;=4.4,"Average",F32&gt;=4.5,"Excellent")</f>
        <v>Average</v>
      </c>
      <c r="I32" t="str" cm="1">
        <f t="array" ref="I32">_xlfn.IFS(D32&lt;20%,"Low Discount",D32&lt;=40%,"Medium Discount",D32&gt;40%,"High Discount")</f>
        <v>High Discount</v>
      </c>
    </row>
    <row r="33" spans="1:9">
      <c r="A33" t="s">
        <v>41</v>
      </c>
      <c r="B33">
        <v>980</v>
      </c>
      <c r="C33" s="2">
        <v>1490</v>
      </c>
      <c r="D33" s="1">
        <v>0.34</v>
      </c>
      <c r="E33">
        <v>12</v>
      </c>
      <c r="F33">
        <v>4.7</v>
      </c>
      <c r="G33" s="2">
        <f t="shared" si="0"/>
        <v>510</v>
      </c>
      <c r="H33" t="str" cm="1">
        <f t="array" ref="H33">_xlfn.IFS(F33&lt;3,"Poor",F33&lt;=4.4,"Average",F33&gt;=4.5,"Excellent")</f>
        <v>Excellent</v>
      </c>
      <c r="I33" t="str" cm="1">
        <f t="array" ref="I33">_xlfn.IFS(D33&lt;20%,"Low Discount",D33&lt;=40%,"Medium Discount",D33&gt;40%,"High Discount")</f>
        <v>Medium Discount</v>
      </c>
    </row>
    <row r="34" spans="1:9">
      <c r="A34" t="s">
        <v>42</v>
      </c>
      <c r="B34" s="2">
        <v>1820</v>
      </c>
      <c r="C34" s="2">
        <v>3490</v>
      </c>
      <c r="D34" s="1">
        <v>0.48</v>
      </c>
      <c r="E34">
        <v>9</v>
      </c>
      <c r="F34">
        <v>4.3</v>
      </c>
      <c r="G34" s="2">
        <f t="shared" si="0"/>
        <v>1670</v>
      </c>
      <c r="H34" t="str" cm="1">
        <f t="array" ref="H34">_xlfn.IFS(F34&lt;3,"Poor",F34&lt;=4.4,"Average",F34&gt;=4.5,"Excellent")</f>
        <v>Average</v>
      </c>
      <c r="I34" t="str" cm="1">
        <f t="array" ref="I34">_xlfn.IFS(D34&lt;20%,"Low Discount",D34&lt;=40%,"Medium Discount",D34&gt;40%,"High Discount")</f>
        <v>High Discount</v>
      </c>
    </row>
    <row r="35" spans="1:9">
      <c r="A35" t="s">
        <v>43</v>
      </c>
      <c r="B35" s="2">
        <v>1940</v>
      </c>
      <c r="C35" s="2">
        <v>2650</v>
      </c>
      <c r="D35" s="1">
        <v>0.27</v>
      </c>
      <c r="E35">
        <v>20</v>
      </c>
      <c r="F35">
        <v>4.7</v>
      </c>
      <c r="G35" s="2">
        <f t="shared" ref="G35:G66" si="1">C35-B35</f>
        <v>710</v>
      </c>
      <c r="H35" t="str" cm="1">
        <f t="array" ref="H35">_xlfn.IFS(F35&lt;3,"Poor",F35&lt;=4.4,"Average",F35&gt;=4.5,"Excellent")</f>
        <v>Excellent</v>
      </c>
      <c r="I35" t="str" cm="1">
        <f t="array" ref="I35">_xlfn.IFS(D35&lt;20%,"Low Discount",D35&lt;=40%,"Medium Discount",D35&gt;40%,"High Discount")</f>
        <v>Medium Discount</v>
      </c>
    </row>
    <row r="36" spans="1:9">
      <c r="A36" t="s">
        <v>44</v>
      </c>
      <c r="B36" s="2">
        <v>1980</v>
      </c>
      <c r="C36" s="2">
        <v>2699</v>
      </c>
      <c r="D36" s="1">
        <v>0.27</v>
      </c>
      <c r="E36">
        <v>32</v>
      </c>
      <c r="F36">
        <v>4.5</v>
      </c>
      <c r="G36" s="2">
        <f t="shared" si="1"/>
        <v>719</v>
      </c>
      <c r="H36" t="str" cm="1">
        <f t="array" ref="H36">_xlfn.IFS(F36&lt;3,"Poor",F36&lt;=4.4,"Average",F36&gt;=4.5,"Excellent")</f>
        <v>Excellent</v>
      </c>
      <c r="I36" t="str" cm="1">
        <f t="array" ref="I36">_xlfn.IFS(D36&lt;20%,"Low Discount",D36&lt;=40%,"Medium Discount",D36&gt;40%,"High Discount")</f>
        <v>Medium Discount</v>
      </c>
    </row>
    <row r="37" spans="1:9">
      <c r="A37" t="s">
        <v>45</v>
      </c>
      <c r="B37" s="2">
        <v>1620</v>
      </c>
      <c r="C37" s="2">
        <v>2690</v>
      </c>
      <c r="D37" s="1">
        <v>0.4</v>
      </c>
      <c r="E37">
        <v>1</v>
      </c>
      <c r="F37">
        <v>5</v>
      </c>
      <c r="G37" s="2">
        <f t="shared" si="1"/>
        <v>1070</v>
      </c>
      <c r="H37" t="str" cm="1">
        <f t="array" ref="H37">_xlfn.IFS(F37&lt;3,"Poor",F37&lt;=4.4,"Average",F37&gt;=4.5,"Excellent")</f>
        <v>Excellent</v>
      </c>
      <c r="I37" t="str" cm="1">
        <f t="array" ref="I37">_xlfn.IFS(D37&lt;20%,"Low Discount",D37&lt;=40%,"Medium Discount",D37&gt;40%,"High Discount")</f>
        <v>Medium Discount</v>
      </c>
    </row>
    <row r="38" spans="1:9">
      <c r="A38" t="s">
        <v>46</v>
      </c>
      <c r="B38">
        <v>171</v>
      </c>
      <c r="C38">
        <v>360</v>
      </c>
      <c r="D38" s="1">
        <v>0.53</v>
      </c>
      <c r="E38">
        <v>2</v>
      </c>
      <c r="F38">
        <v>5</v>
      </c>
      <c r="G38" s="2">
        <f t="shared" si="1"/>
        <v>189</v>
      </c>
      <c r="H38" t="str" cm="1">
        <f t="array" ref="H38">_xlfn.IFS(F38&lt;3,"Poor",F38&lt;=4.4,"Average",F38&gt;=4.5,"Excellent")</f>
        <v>Excellent</v>
      </c>
      <c r="I38" t="str" cm="1">
        <f t="array" ref="I38">_xlfn.IFS(D38&lt;20%,"Low Discount",D38&lt;=40%,"Medium Discount",D38&gt;40%,"High Discount")</f>
        <v>High Discount</v>
      </c>
    </row>
    <row r="39" spans="1:9">
      <c r="A39" t="s">
        <v>47</v>
      </c>
      <c r="B39">
        <v>389</v>
      </c>
      <c r="C39">
        <v>656</v>
      </c>
      <c r="D39" s="1">
        <v>0.41</v>
      </c>
      <c r="E39">
        <v>36</v>
      </c>
      <c r="F39">
        <v>4.3</v>
      </c>
      <c r="G39" s="2">
        <f t="shared" si="1"/>
        <v>267</v>
      </c>
      <c r="H39" t="str" cm="1">
        <f t="array" ref="H39">_xlfn.IFS(F39&lt;3,"Poor",F39&lt;=4.4,"Average",F39&gt;=4.5,"Excellent")</f>
        <v>Average</v>
      </c>
      <c r="I39" t="str" cm="1">
        <f t="array" ref="I39">_xlfn.IFS(D39&lt;20%,"Low Discount",D39&lt;=40%,"Medium Discount",D39&gt;40%,"High Discount")</f>
        <v>High Discount</v>
      </c>
    </row>
    <row r="40" spans="1:9">
      <c r="A40" t="s">
        <v>48</v>
      </c>
      <c r="B40" t="s">
        <v>49</v>
      </c>
      <c r="C40" t="s">
        <v>50</v>
      </c>
      <c r="D40" s="1">
        <v>0.38</v>
      </c>
      <c r="E40">
        <v>2</v>
      </c>
      <c r="F40">
        <v>4.5</v>
      </c>
      <c r="G40" s="2" t="e">
        <f t="shared" si="1"/>
        <v>#VALUE!</v>
      </c>
      <c r="H40" t="str" cm="1">
        <f t="array" ref="H40">_xlfn.IFS(F40&lt;3,"Poor",F40&lt;=4.4,"Average",F40&gt;=4.5,"Excellent")</f>
        <v>Excellent</v>
      </c>
      <c r="I40" t="str" cm="1">
        <f t="array" ref="I40">_xlfn.IFS(D40&lt;20%,"Low Discount",D40&lt;=40%,"Medium Discount",D40&gt;40%,"High Discount")</f>
        <v>Medium Discount</v>
      </c>
    </row>
    <row r="41" spans="1:9">
      <c r="A41" t="s">
        <v>51</v>
      </c>
      <c r="B41" s="2">
        <v>2750</v>
      </c>
      <c r="C41" s="2">
        <v>4471</v>
      </c>
      <c r="D41" s="1">
        <v>0.38</v>
      </c>
      <c r="E41" t="s">
        <v>31</v>
      </c>
      <c r="F41" t="s">
        <v>31</v>
      </c>
      <c r="G41" s="2">
        <f t="shared" si="1"/>
        <v>1721</v>
      </c>
      <c r="H41" t="str" cm="1">
        <f t="array" ref="H41">_xlfn.IFS(F41&lt;3,"Poor",F41&lt;=4.4,"Average",F41&gt;=4.5,"Excellent")</f>
        <v>Excellent</v>
      </c>
      <c r="I41" t="str" cm="1">
        <f t="array" ref="I41">_xlfn.IFS(D41&lt;20%,"Low Discount",D41&lt;=40%,"Medium Discount",D41&gt;40%,"High Discount")</f>
        <v>Medium Discount</v>
      </c>
    </row>
    <row r="42" spans="1:9">
      <c r="A42" t="s">
        <v>52</v>
      </c>
      <c r="B42">
        <v>475</v>
      </c>
      <c r="C42">
        <v>931</v>
      </c>
      <c r="D42" s="1">
        <v>0.49</v>
      </c>
      <c r="E42" t="s">
        <v>31</v>
      </c>
      <c r="F42" t="s">
        <v>31</v>
      </c>
      <c r="G42" s="2">
        <f t="shared" si="1"/>
        <v>456</v>
      </c>
      <c r="H42" t="str" cm="1">
        <f t="array" ref="H42">_xlfn.IFS(F42&lt;3,"Poor",F42&lt;=4.4,"Average",F42&gt;=4.5,"Excellent")</f>
        <v>Excellent</v>
      </c>
      <c r="I42" t="str" cm="1">
        <f t="array" ref="I42">_xlfn.IFS(D42&lt;20%,"Low Discount",D42&lt;=40%,"Medium Discount",D42&gt;40%,"High Discount")</f>
        <v>High Discount</v>
      </c>
    </row>
    <row r="43" spans="1:9">
      <c r="A43" t="s">
        <v>53</v>
      </c>
      <c r="B43">
        <v>238</v>
      </c>
      <c r="C43">
        <v>476</v>
      </c>
      <c r="D43" s="1">
        <v>0.5</v>
      </c>
      <c r="E43" t="s">
        <v>31</v>
      </c>
      <c r="F43" t="s">
        <v>31</v>
      </c>
      <c r="G43" s="2">
        <f t="shared" si="1"/>
        <v>238</v>
      </c>
      <c r="H43" t="str" cm="1">
        <f t="array" ref="H43">_xlfn.IFS(F43&lt;3,"Poor",F43&lt;=4.4,"Average",F43&gt;=4.5,"Excellent")</f>
        <v>Excellent</v>
      </c>
      <c r="I43" t="str" cm="1">
        <f t="array" ref="I43">_xlfn.IFS(D43&lt;20%,"Low Discount",D43&lt;=40%,"Medium Discount",D43&gt;40%,"High Discount")</f>
        <v>High Discount</v>
      </c>
    </row>
    <row r="44" spans="1:9">
      <c r="A44" t="s">
        <v>54</v>
      </c>
      <c r="B44">
        <v>610</v>
      </c>
      <c r="C44" s="2">
        <v>1060</v>
      </c>
      <c r="D44" s="1">
        <v>0.42</v>
      </c>
      <c r="E44" t="s">
        <v>31</v>
      </c>
      <c r="F44" t="s">
        <v>31</v>
      </c>
      <c r="G44" s="2">
        <f t="shared" si="1"/>
        <v>450</v>
      </c>
      <c r="H44" t="str" cm="1">
        <f t="array" ref="H44">_xlfn.IFS(F44&lt;3,"Poor",F44&lt;=4.4,"Average",F44&gt;=4.5,"Excellent")</f>
        <v>Excellent</v>
      </c>
      <c r="I44" t="str" cm="1">
        <f t="array" ref="I44">_xlfn.IFS(D44&lt;20%,"Low Discount",D44&lt;=40%,"Medium Discount",D44&gt;40%,"High Discount")</f>
        <v>High Discount</v>
      </c>
    </row>
    <row r="45" spans="1:9">
      <c r="A45" t="s">
        <v>55</v>
      </c>
      <c r="B45" s="2">
        <v>2132</v>
      </c>
      <c r="C45" s="2">
        <v>2169</v>
      </c>
      <c r="D45" s="1">
        <v>0.02</v>
      </c>
      <c r="E45" t="s">
        <v>31</v>
      </c>
      <c r="F45" t="s">
        <v>31</v>
      </c>
      <c r="G45" s="2">
        <f t="shared" si="1"/>
        <v>37</v>
      </c>
      <c r="H45" t="str" cm="1">
        <f t="array" ref="H45">_xlfn.IFS(F45&lt;3,"Poor",F45&lt;=4.4,"Average",F45&gt;=4.5,"Excellent")</f>
        <v>Excellent</v>
      </c>
      <c r="I45" t="str" cm="1">
        <f t="array" ref="I45">_xlfn.IFS(D45&lt;20%,"Low Discount",D45&lt;=40%,"Medium Discount",D45&gt;40%,"High Discount")</f>
        <v>Low Discount</v>
      </c>
    </row>
    <row r="46" spans="1:9">
      <c r="A46" t="s">
        <v>56</v>
      </c>
      <c r="B46">
        <v>999</v>
      </c>
      <c r="C46" s="2">
        <v>2000</v>
      </c>
      <c r="D46" s="1">
        <v>0.5</v>
      </c>
      <c r="E46" t="s">
        <v>31</v>
      </c>
      <c r="F46" t="s">
        <v>31</v>
      </c>
      <c r="G46" s="2">
        <f t="shared" si="1"/>
        <v>1001</v>
      </c>
      <c r="H46" t="str" cm="1">
        <f t="array" ref="H46">_xlfn.IFS(F46&lt;3,"Poor",F46&lt;=4.4,"Average",F46&gt;=4.5,"Excellent")</f>
        <v>Excellent</v>
      </c>
      <c r="I46" t="str" cm="1">
        <f t="array" ref="I46">_xlfn.IFS(D46&lt;20%,"Low Discount",D46&lt;=40%,"Medium Discount",D46&gt;40%,"High Discount")</f>
        <v>High Discount</v>
      </c>
    </row>
    <row r="47" spans="1:9">
      <c r="A47" t="s">
        <v>57</v>
      </c>
      <c r="B47" s="2">
        <v>1190</v>
      </c>
      <c r="C47" s="2">
        <v>1785</v>
      </c>
      <c r="D47" s="1">
        <v>0.33</v>
      </c>
      <c r="E47" t="s">
        <v>31</v>
      </c>
      <c r="F47" t="s">
        <v>31</v>
      </c>
      <c r="G47" s="2">
        <f t="shared" si="1"/>
        <v>595</v>
      </c>
      <c r="H47" t="str" cm="1">
        <f t="array" ref="H47">_xlfn.IFS(F47&lt;3,"Poor",F47&lt;=4.4,"Average",F47&gt;=4.5,"Excellent")</f>
        <v>Excellent</v>
      </c>
      <c r="I47" t="str" cm="1">
        <f t="array" ref="I47">_xlfn.IFS(D47&lt;20%,"Low Discount",D47&lt;=40%,"Medium Discount",D47&gt;40%,"High Discount")</f>
        <v>Medium Discount</v>
      </c>
    </row>
    <row r="48" spans="1:9">
      <c r="A48" t="s">
        <v>58</v>
      </c>
      <c r="B48">
        <v>671</v>
      </c>
      <c r="C48" s="2">
        <v>1316</v>
      </c>
      <c r="D48" s="1">
        <v>0.49</v>
      </c>
      <c r="E48" t="s">
        <v>31</v>
      </c>
      <c r="F48" t="s">
        <v>31</v>
      </c>
      <c r="G48" s="2">
        <f t="shared" si="1"/>
        <v>645</v>
      </c>
      <c r="H48" t="str" cm="1">
        <f t="array" ref="H48">_xlfn.IFS(F48&lt;3,"Poor",F48&lt;=4.4,"Average",F48&gt;=4.5,"Excellent")</f>
        <v>Excellent</v>
      </c>
      <c r="I48" t="str" cm="1">
        <f t="array" ref="I48">_xlfn.IFS(D48&lt;20%,"Low Discount",D48&lt;=40%,"Medium Discount",D48&gt;40%,"High Discount")</f>
        <v>High Discount</v>
      </c>
    </row>
    <row r="49" spans="1:9">
      <c r="A49" t="s">
        <v>59</v>
      </c>
      <c r="B49" s="2">
        <v>1200</v>
      </c>
      <c r="C49" s="2">
        <v>1950</v>
      </c>
      <c r="D49" s="1">
        <v>0.38</v>
      </c>
      <c r="E49" t="s">
        <v>31</v>
      </c>
      <c r="F49" t="s">
        <v>31</v>
      </c>
      <c r="G49" s="2">
        <f t="shared" si="1"/>
        <v>750</v>
      </c>
      <c r="H49" t="str" cm="1">
        <f t="array" ref="H49">_xlfn.IFS(F49&lt;3,"Poor",F49&lt;=4.4,"Average",F49&gt;=4.5,"Excellent")</f>
        <v>Excellent</v>
      </c>
      <c r="I49" t="str" cm="1">
        <f t="array" ref="I49">_xlfn.IFS(D49&lt;20%,"Low Discount",D49&lt;=40%,"Medium Discount",D49&gt;40%,"High Discount")</f>
        <v>Medium Discount</v>
      </c>
    </row>
    <row r="50" spans="1:9">
      <c r="A50" t="s">
        <v>60</v>
      </c>
      <c r="B50">
        <v>199</v>
      </c>
      <c r="C50">
        <v>504</v>
      </c>
      <c r="D50" s="1">
        <v>0.61</v>
      </c>
      <c r="E50" t="s">
        <v>31</v>
      </c>
      <c r="F50" t="s">
        <v>31</v>
      </c>
      <c r="G50" s="2">
        <f t="shared" si="1"/>
        <v>305</v>
      </c>
      <c r="H50" t="str" cm="1">
        <f t="array" ref="H50">_xlfn.IFS(F50&lt;3,"Poor",F50&lt;=4.4,"Average",F50&gt;=4.5,"Excellent")</f>
        <v>Excellent</v>
      </c>
      <c r="I50" t="str" cm="1">
        <f t="array" ref="I50">_xlfn.IFS(D50&lt;20%,"Low Discount",D50&lt;=40%,"Medium Discount",D50&gt;40%,"High Discount")</f>
        <v>High Discount</v>
      </c>
    </row>
    <row r="51" spans="1:9">
      <c r="A51" t="s">
        <v>61</v>
      </c>
      <c r="B51">
        <v>299</v>
      </c>
      <c r="C51">
        <v>600</v>
      </c>
      <c r="D51" s="1">
        <v>0.5</v>
      </c>
      <c r="E51" t="s">
        <v>31</v>
      </c>
      <c r="F51" t="s">
        <v>31</v>
      </c>
      <c r="G51" s="2">
        <f t="shared" si="1"/>
        <v>301</v>
      </c>
      <c r="H51" t="str" cm="1">
        <f t="array" ref="H51">_xlfn.IFS(F51&lt;3,"Poor",F51&lt;=4.4,"Average",F51&gt;=4.5,"Excellent")</f>
        <v>Excellent</v>
      </c>
      <c r="I51" t="str" cm="1">
        <f t="array" ref="I51">_xlfn.IFS(D51&lt;20%,"Low Discount",D51&lt;=40%,"Medium Discount",D51&gt;40%,"High Discount")</f>
        <v>High Discount</v>
      </c>
    </row>
    <row r="52" spans="1:9">
      <c r="A52" t="s">
        <v>62</v>
      </c>
      <c r="B52" s="2">
        <v>1660</v>
      </c>
      <c r="C52" s="2">
        <v>1699</v>
      </c>
      <c r="D52" s="1">
        <v>0.02</v>
      </c>
      <c r="E52" t="s">
        <v>31</v>
      </c>
      <c r="F52" t="s">
        <v>31</v>
      </c>
      <c r="G52" s="2">
        <f t="shared" si="1"/>
        <v>39</v>
      </c>
      <c r="H52" t="str" cm="1">
        <f t="array" ref="H52">_xlfn.IFS(F52&lt;3,"Poor",F52&lt;=4.4,"Average",F52&gt;=4.5,"Excellent")</f>
        <v>Excellent</v>
      </c>
      <c r="I52" t="str" cm="1">
        <f t="array" ref="I52">_xlfn.IFS(D52&lt;20%,"Low Discount",D52&lt;=40%,"Medium Discount",D52&gt;40%,"High Discount")</f>
        <v>Low Discount</v>
      </c>
    </row>
    <row r="53" spans="1:9">
      <c r="A53" t="s">
        <v>63</v>
      </c>
      <c r="B53">
        <v>299</v>
      </c>
      <c r="C53">
        <v>384</v>
      </c>
      <c r="D53" s="1">
        <v>0.22</v>
      </c>
      <c r="E53" t="s">
        <v>31</v>
      </c>
      <c r="F53" t="s">
        <v>31</v>
      </c>
      <c r="G53" s="2">
        <f t="shared" si="1"/>
        <v>85</v>
      </c>
      <c r="H53" t="str" cm="1">
        <f t="array" ref="H53">_xlfn.IFS(F53&lt;3,"Poor",F53&lt;=4.4,"Average",F53&gt;=4.5,"Excellent")</f>
        <v>Excellent</v>
      </c>
      <c r="I53" t="str" cm="1">
        <f t="array" ref="I53">_xlfn.IFS(D53&lt;20%,"Low Discount",D53&lt;=40%,"Medium Discount",D53&gt;40%,"High Discount")</f>
        <v>Medium Discount</v>
      </c>
    </row>
    <row r="54" spans="1:9">
      <c r="A54" t="s">
        <v>64</v>
      </c>
      <c r="B54" s="2">
        <v>1459</v>
      </c>
      <c r="C54" s="2">
        <v>1499</v>
      </c>
      <c r="D54" s="1">
        <v>0.03</v>
      </c>
      <c r="E54" t="s">
        <v>31</v>
      </c>
      <c r="F54" t="s">
        <v>31</v>
      </c>
      <c r="G54" s="2">
        <f t="shared" si="1"/>
        <v>40</v>
      </c>
      <c r="H54" t="str" cm="1">
        <f t="array" ref="H54">_xlfn.IFS(F54&lt;3,"Poor",F54&lt;=4.4,"Average",F54&gt;=4.5,"Excellent")</f>
        <v>Excellent</v>
      </c>
      <c r="I54" t="str" cm="1">
        <f t="array" ref="I54">_xlfn.IFS(D54&lt;20%,"Low Discount",D54&lt;=40%,"Medium Discount",D54&gt;40%,"High Discount")</f>
        <v>Low Discount</v>
      </c>
    </row>
    <row r="55" spans="1:9">
      <c r="A55" t="s">
        <v>65</v>
      </c>
      <c r="B55">
        <v>799</v>
      </c>
      <c r="C55" s="2">
        <v>1343</v>
      </c>
      <c r="D55" s="1">
        <v>0.41</v>
      </c>
      <c r="E55" t="s">
        <v>31</v>
      </c>
      <c r="F55" t="s">
        <v>31</v>
      </c>
      <c r="G55" s="2">
        <f t="shared" si="1"/>
        <v>544</v>
      </c>
      <c r="H55" t="str" cm="1">
        <f t="array" ref="H55">_xlfn.IFS(F55&lt;3,"Poor",F55&lt;=4.4,"Average",F55&gt;=4.5,"Excellent")</f>
        <v>Excellent</v>
      </c>
      <c r="I55" t="str" cm="1">
        <f t="array" ref="I55">_xlfn.IFS(D55&lt;20%,"Low Discount",D55&lt;=40%,"Medium Discount",D55&gt;40%,"High Discount")</f>
        <v>High Discount</v>
      </c>
    </row>
    <row r="56" spans="1:9">
      <c r="A56" t="s">
        <v>66</v>
      </c>
      <c r="B56">
        <v>499</v>
      </c>
      <c r="C56">
        <v>900</v>
      </c>
      <c r="D56" s="1">
        <v>0.45</v>
      </c>
      <c r="E56" t="s">
        <v>31</v>
      </c>
      <c r="F56" t="s">
        <v>31</v>
      </c>
      <c r="G56" s="2">
        <f t="shared" si="1"/>
        <v>401</v>
      </c>
      <c r="H56" t="str" cm="1">
        <f t="array" ref="H56">_xlfn.IFS(F56&lt;3,"Poor",F56&lt;=4.4,"Average",F56&gt;=4.5,"Excellent")</f>
        <v>Excellent</v>
      </c>
      <c r="I56" t="str" cm="1">
        <f t="array" ref="I56">_xlfn.IFS(D56&lt;20%,"Low Discount",D56&lt;=40%,"Medium Discount",D56&gt;40%,"High Discount")</f>
        <v>High Discount</v>
      </c>
    </row>
    <row r="57" spans="1:9">
      <c r="A57" t="s">
        <v>67</v>
      </c>
      <c r="B57">
        <v>699</v>
      </c>
      <c r="C57" s="2">
        <v>1343</v>
      </c>
      <c r="D57" s="1">
        <v>0.48</v>
      </c>
      <c r="E57" t="s">
        <v>31</v>
      </c>
      <c r="F57" t="s">
        <v>31</v>
      </c>
      <c r="G57" s="2">
        <f t="shared" si="1"/>
        <v>644</v>
      </c>
      <c r="H57" t="str" cm="1">
        <f t="array" ref="H57">_xlfn.IFS(F57&lt;3,"Poor",F57&lt;=4.4,"Average",F57&gt;=4.5,"Excellent")</f>
        <v>Excellent</v>
      </c>
      <c r="I57" t="str" cm="1">
        <f t="array" ref="I57">_xlfn.IFS(D57&lt;20%,"Low Discount",D57&lt;=40%,"Medium Discount",D57&gt;40%,"High Discount")</f>
        <v>High Discount</v>
      </c>
    </row>
    <row r="58" spans="1:9">
      <c r="A58" t="s">
        <v>68</v>
      </c>
      <c r="B58">
        <v>799</v>
      </c>
      <c r="C58" s="2">
        <v>1567</v>
      </c>
      <c r="D58" s="1">
        <v>0.49</v>
      </c>
      <c r="E58" t="s">
        <v>31</v>
      </c>
      <c r="F58" t="s">
        <v>31</v>
      </c>
      <c r="G58" s="2">
        <f t="shared" si="1"/>
        <v>768</v>
      </c>
      <c r="H58" t="str" cm="1">
        <f t="array" ref="H58">_xlfn.IFS(F58&lt;3,"Poor",F58&lt;=4.4,"Average",F58&gt;=4.5,"Excellent")</f>
        <v>Excellent</v>
      </c>
      <c r="I58" t="str" cm="1">
        <f t="array" ref="I58">_xlfn.IFS(D58&lt;20%,"Low Discount",D58&lt;=40%,"Medium Discount",D58&gt;40%,"High Discount")</f>
        <v>High Discount</v>
      </c>
    </row>
    <row r="59" spans="1:9">
      <c r="A59" t="s">
        <v>69</v>
      </c>
      <c r="B59" s="2">
        <v>2799</v>
      </c>
      <c r="C59" s="2">
        <v>3810</v>
      </c>
      <c r="D59" s="1">
        <v>0.27</v>
      </c>
      <c r="E59" t="s">
        <v>31</v>
      </c>
      <c r="F59" t="s">
        <v>31</v>
      </c>
      <c r="G59" s="2">
        <f t="shared" si="1"/>
        <v>1011</v>
      </c>
      <c r="H59" t="str" cm="1">
        <f t="array" ref="H59">_xlfn.IFS(F59&lt;3,"Poor",F59&lt;=4.4,"Average",F59&gt;=4.5,"Excellent")</f>
        <v>Excellent</v>
      </c>
      <c r="I59" t="str" cm="1">
        <f t="array" ref="I59">_xlfn.IFS(D59&lt;20%,"Low Discount",D59&lt;=40%,"Medium Discount",D59&gt;40%,"High Discount")</f>
        <v>Medium Discount</v>
      </c>
    </row>
    <row r="60" spans="1:9">
      <c r="A60" t="s">
        <v>66</v>
      </c>
      <c r="B60">
        <v>399</v>
      </c>
      <c r="C60">
        <v>896</v>
      </c>
      <c r="D60" s="1">
        <v>0.55</v>
      </c>
      <c r="E60" t="s">
        <v>31</v>
      </c>
      <c r="F60" t="s">
        <v>31</v>
      </c>
      <c r="G60" s="2">
        <f t="shared" si="1"/>
        <v>497</v>
      </c>
      <c r="H60" t="str" cm="1">
        <f t="array" ref="H60">_xlfn.IFS(F60&lt;3,"Poor",F60&lt;=4.4,"Average",F60&gt;=4.5,"Excellent")</f>
        <v>Excellent</v>
      </c>
      <c r="I60" t="str" cm="1">
        <f t="array" ref="I60">_xlfn.IFS(D60&lt;20%,"Low Discount",D60&lt;=40%,"Medium Discount",D60&gt;40%,"High Discount")</f>
        <v>High Discount</v>
      </c>
    </row>
    <row r="61" spans="1:9">
      <c r="A61" t="s">
        <v>70</v>
      </c>
      <c r="B61" s="2">
        <v>2170</v>
      </c>
      <c r="C61" s="2">
        <v>2500</v>
      </c>
      <c r="D61" s="1">
        <v>0.13</v>
      </c>
      <c r="E61">
        <v>6</v>
      </c>
      <c r="F61">
        <v>2.5</v>
      </c>
      <c r="G61" s="2">
        <f t="shared" si="1"/>
        <v>330</v>
      </c>
      <c r="H61" t="str" cm="1">
        <f t="array" ref="H61">_xlfn.IFS(F61&lt;3,"Poor",F61&lt;=4.4,"Average",F61&gt;=4.5,"Excellent")</f>
        <v>Poor</v>
      </c>
      <c r="I61" t="str" cm="1">
        <f t="array" ref="I61">_xlfn.IFS(D61&lt;20%,"Low Discount",D61&lt;=40%,"Medium Discount",D61&gt;40%,"High Discount")</f>
        <v>Low Discount</v>
      </c>
    </row>
    <row r="62" spans="1:9">
      <c r="A62" t="s">
        <v>71</v>
      </c>
      <c r="B62">
        <v>458</v>
      </c>
      <c r="C62">
        <v>986</v>
      </c>
      <c r="D62" s="1">
        <v>0.54</v>
      </c>
      <c r="E62">
        <v>10</v>
      </c>
      <c r="F62">
        <v>3</v>
      </c>
      <c r="G62" s="2">
        <f t="shared" si="1"/>
        <v>528</v>
      </c>
      <c r="H62" t="str" cm="1">
        <f t="array" ref="H62">_xlfn.IFS(F62&lt;3,"Poor",F62&lt;=4.4,"Average",F62&gt;=4.5,"Excellent")</f>
        <v>Average</v>
      </c>
      <c r="I62" t="str" cm="1">
        <f t="array" ref="I62">_xlfn.IFS(D62&lt;20%,"Low Discount",D62&lt;=40%,"Medium Discount",D62&gt;40%,"High Discount")</f>
        <v>High Discount</v>
      </c>
    </row>
    <row r="63" spans="1:9">
      <c r="A63" t="s">
        <v>72</v>
      </c>
      <c r="B63" s="2">
        <v>2115</v>
      </c>
      <c r="C63" s="2">
        <v>4700</v>
      </c>
      <c r="D63" s="1">
        <v>0.55</v>
      </c>
      <c r="E63">
        <v>13</v>
      </c>
      <c r="F63">
        <v>2.1</v>
      </c>
      <c r="G63" s="2">
        <f t="shared" si="1"/>
        <v>2585</v>
      </c>
      <c r="H63" t="str" cm="1">
        <f t="array" ref="H63">_xlfn.IFS(F63&lt;3,"Poor",F63&lt;=4.4,"Average",F63&gt;=4.5,"Excellent")</f>
        <v>Poor</v>
      </c>
      <c r="I63" t="str" cm="1">
        <f t="array" ref="I63">_xlfn.IFS(D63&lt;20%,"Low Discount",D63&lt;=40%,"Medium Discount",D63&gt;40%,"High Discount")</f>
        <v>High Discount</v>
      </c>
    </row>
    <row r="64" spans="1:9">
      <c r="A64" t="s">
        <v>73</v>
      </c>
      <c r="B64">
        <v>445</v>
      </c>
      <c r="C64">
        <v>873</v>
      </c>
      <c r="D64" s="1">
        <v>0.49</v>
      </c>
      <c r="E64">
        <v>69</v>
      </c>
      <c r="F64">
        <v>2.8</v>
      </c>
      <c r="G64" s="2">
        <f t="shared" si="1"/>
        <v>428</v>
      </c>
      <c r="H64" t="str" cm="1">
        <f t="array" ref="H64">_xlfn.IFS(F64&lt;3,"Poor",F64&lt;=4.4,"Average",F64&gt;=4.5,"Excellent")</f>
        <v>Poor</v>
      </c>
      <c r="I64" t="str" cm="1">
        <f t="array" ref="I64">_xlfn.IFS(D64&lt;20%,"Low Discount",D64&lt;=40%,"Medium Discount",D64&gt;40%,"High Discount")</f>
        <v>High Discount</v>
      </c>
    </row>
    <row r="65" spans="1:9">
      <c r="A65" t="s">
        <v>74</v>
      </c>
      <c r="B65">
        <v>325</v>
      </c>
      <c r="C65">
        <v>680</v>
      </c>
      <c r="D65" s="1">
        <v>0.52</v>
      </c>
      <c r="E65">
        <v>15</v>
      </c>
      <c r="F65">
        <v>2.7</v>
      </c>
      <c r="G65" s="2">
        <f t="shared" si="1"/>
        <v>355</v>
      </c>
      <c r="H65" t="str" cm="1">
        <f t="array" ref="H65">_xlfn.IFS(F65&lt;3,"Poor",F65&lt;=4.4,"Average",F65&gt;=4.5,"Excellent")</f>
        <v>Poor</v>
      </c>
      <c r="I65" t="str" cm="1">
        <f t="array" ref="I65">_xlfn.IFS(D65&lt;20%,"Low Discount",D65&lt;=40%,"Medium Discount",D65&gt;40%,"High Discount")</f>
        <v>High Discount</v>
      </c>
    </row>
    <row r="66" spans="1:9">
      <c r="A66" t="s">
        <v>75</v>
      </c>
      <c r="B66" s="2">
        <v>1220</v>
      </c>
      <c r="C66" s="2">
        <v>1555</v>
      </c>
      <c r="D66" s="1">
        <v>0.22</v>
      </c>
      <c r="E66">
        <v>16</v>
      </c>
      <c r="F66">
        <v>2.9</v>
      </c>
      <c r="G66" s="2">
        <f t="shared" si="1"/>
        <v>335</v>
      </c>
      <c r="H66" t="str" cm="1">
        <f t="array" ref="H66">_xlfn.IFS(F66&lt;3,"Poor",F66&lt;=4.4,"Average",F66&gt;=4.5,"Excellent")</f>
        <v>Poor</v>
      </c>
      <c r="I66" t="str" cm="1">
        <f t="array" ref="I66">_xlfn.IFS(D66&lt;20%,"Low Discount",D66&lt;=40%,"Medium Discount",D66&gt;40%,"High Discount")</f>
        <v>Medium Discount</v>
      </c>
    </row>
    <row r="67" spans="1:9">
      <c r="A67" t="s">
        <v>76</v>
      </c>
      <c r="B67">
        <v>990</v>
      </c>
      <c r="C67" s="2">
        <v>1814</v>
      </c>
      <c r="D67" s="1">
        <v>0.45</v>
      </c>
      <c r="E67">
        <v>6</v>
      </c>
      <c r="F67">
        <v>2.2</v>
      </c>
      <c r="G67" s="2">
        <f t="shared" ref="G67:G113" si="2">C67-B67</f>
        <v>824</v>
      </c>
      <c r="H67" t="str" cm="1">
        <f t="array" ref="H67">_xlfn.IFS(F67&lt;3,"Poor",F67&lt;=4.4,"Average",F67&gt;=4.5,"Excellent")</f>
        <v>Poor</v>
      </c>
      <c r="I67" t="str" cm="1">
        <f t="array" ref="I67">_xlfn.IFS(D67&lt;20%,"Low Discount",D67&lt;=40%,"Medium Discount",D67&gt;40%,"High Discount")</f>
        <v>High Discount</v>
      </c>
    </row>
    <row r="68" spans="1:9">
      <c r="A68" t="s">
        <v>77</v>
      </c>
      <c r="B68" s="2">
        <v>1000</v>
      </c>
      <c r="C68" s="2">
        <v>2000</v>
      </c>
      <c r="D68" s="1">
        <v>0.5</v>
      </c>
      <c r="E68">
        <v>7</v>
      </c>
      <c r="F68">
        <v>2.3</v>
      </c>
      <c r="G68" s="2">
        <f t="shared" si="2"/>
        <v>1000</v>
      </c>
      <c r="H68" t="str" cm="1">
        <f t="array" ref="H68">_xlfn.IFS(F68&lt;3,"Poor",F68&lt;=4.4,"Average",F68&gt;=4.5,"Excellent")</f>
        <v>Poor</v>
      </c>
      <c r="I68" t="str" cm="1">
        <f t="array" ref="I68">_xlfn.IFS(D68&lt;20%,"Low Discount",D68&lt;=40%,"Medium Discount",D68&gt;40%,"High Discount")</f>
        <v>High Discount</v>
      </c>
    </row>
    <row r="69" spans="1:9">
      <c r="A69" t="s">
        <v>78</v>
      </c>
      <c r="B69" s="2">
        <v>3750</v>
      </c>
      <c r="C69" s="2">
        <v>6143</v>
      </c>
      <c r="D69" s="1">
        <v>0.39</v>
      </c>
      <c r="E69">
        <v>5</v>
      </c>
      <c r="F69">
        <v>3</v>
      </c>
      <c r="G69" s="2">
        <f t="shared" si="2"/>
        <v>2393</v>
      </c>
      <c r="H69" t="str" cm="1">
        <f t="array" ref="H69">_xlfn.IFS(F69&lt;3,"Poor",F69&lt;=4.4,"Average",F69&gt;=4.5,"Excellent")</f>
        <v>Average</v>
      </c>
      <c r="I69" t="str" cm="1">
        <f t="array" ref="I69">_xlfn.IFS(D69&lt;20%,"Low Discount",D69&lt;=40%,"Medium Discount",D69&gt;40%,"High Discount")</f>
        <v>Medium Discount</v>
      </c>
    </row>
    <row r="70" spans="1:9">
      <c r="A70" t="s">
        <v>79</v>
      </c>
      <c r="B70">
        <v>382</v>
      </c>
      <c r="C70">
        <v>700</v>
      </c>
      <c r="D70" s="1">
        <v>0.45</v>
      </c>
      <c r="E70">
        <v>17</v>
      </c>
      <c r="F70">
        <v>2.6</v>
      </c>
      <c r="G70" s="2">
        <f t="shared" si="2"/>
        <v>318</v>
      </c>
      <c r="H70" t="str" cm="1">
        <f t="array" ref="H70">_xlfn.IFS(F70&lt;3,"Poor",F70&lt;=4.4,"Average",F70&gt;=4.5,"Excellent")</f>
        <v>Poor</v>
      </c>
      <c r="I70" t="str" cm="1">
        <f t="array" ref="I70">_xlfn.IFS(D70&lt;20%,"Low Discount",D70&lt;=40%,"Medium Discount",D70&gt;40%,"High Discount")</f>
        <v>High Discount</v>
      </c>
    </row>
    <row r="71" spans="1:9">
      <c r="A71" t="s">
        <v>80</v>
      </c>
      <c r="B71" s="2">
        <v>2300</v>
      </c>
      <c r="C71" s="2">
        <v>3240</v>
      </c>
      <c r="D71" s="1">
        <v>0.29</v>
      </c>
      <c r="E71">
        <v>5</v>
      </c>
      <c r="F71">
        <v>3</v>
      </c>
      <c r="G71" s="2">
        <f t="shared" si="2"/>
        <v>940</v>
      </c>
      <c r="H71" t="str" cm="1">
        <f t="array" ref="H71">_xlfn.IFS(F71&lt;3,"Poor",F71&lt;=4.4,"Average",F71&gt;=4.5,"Excellent")</f>
        <v>Average</v>
      </c>
      <c r="I71" t="str" cm="1">
        <f t="array" ref="I71">_xlfn.IFS(D71&lt;20%,"Low Discount",D71&lt;=40%,"Medium Discount",D71&gt;40%,"High Discount")</f>
        <v>Medium Discount</v>
      </c>
    </row>
    <row r="72" spans="1:9">
      <c r="A72" t="s">
        <v>81</v>
      </c>
      <c r="B72">
        <v>345</v>
      </c>
      <c r="C72">
        <v>602</v>
      </c>
      <c r="D72" s="1">
        <v>0.43</v>
      </c>
      <c r="E72">
        <v>6</v>
      </c>
      <c r="F72">
        <v>2.3</v>
      </c>
      <c r="G72" s="2">
        <f t="shared" si="2"/>
        <v>257</v>
      </c>
      <c r="H72" t="str" cm="1">
        <f t="array" ref="H72">_xlfn.IFS(F72&lt;3,"Poor",F72&lt;=4.4,"Average",F72&gt;=4.5,"Excellent")</f>
        <v>Poor</v>
      </c>
      <c r="I72" t="str" cm="1">
        <f t="array" ref="I72">_xlfn.IFS(D72&lt;20%,"Low Discount",D72&lt;=40%,"Medium Discount",D72&gt;40%,"High Discount")</f>
        <v>High Discount</v>
      </c>
    </row>
    <row r="73" spans="1:9">
      <c r="A73" t="s">
        <v>82</v>
      </c>
      <c r="B73">
        <v>509</v>
      </c>
      <c r="C73">
        <v>899</v>
      </c>
      <c r="D73" s="1">
        <v>0.43</v>
      </c>
      <c r="E73">
        <v>5</v>
      </c>
      <c r="F73">
        <v>3</v>
      </c>
      <c r="G73" s="2">
        <f t="shared" si="2"/>
        <v>390</v>
      </c>
      <c r="H73" t="str" cm="1">
        <f t="array" ref="H73">_xlfn.IFS(F73&lt;3,"Poor",F73&lt;=4.4,"Average",F73&gt;=4.5,"Excellent")</f>
        <v>Average</v>
      </c>
      <c r="I73" t="str" cm="1">
        <f t="array" ref="I73">_xlfn.IFS(D73&lt;20%,"Low Discount",D73&lt;=40%,"Medium Discount",D73&gt;40%,"High Discount")</f>
        <v>High Discount</v>
      </c>
    </row>
    <row r="74" spans="1:9">
      <c r="A74" t="s">
        <v>83</v>
      </c>
      <c r="B74">
        <v>968</v>
      </c>
      <c r="C74" s="2">
        <v>1814</v>
      </c>
      <c r="D74" s="1">
        <v>0.47</v>
      </c>
      <c r="E74">
        <v>6</v>
      </c>
      <c r="F74">
        <v>2.2</v>
      </c>
      <c r="G74" s="2">
        <f t="shared" si="2"/>
        <v>846</v>
      </c>
      <c r="H74" t="str" cm="1">
        <f t="array" ref="H74">_xlfn.IFS(F74&lt;3,"Poor",F74&lt;=4.4,"Average",F74&gt;=4.5,"Excellent")</f>
        <v>Poor</v>
      </c>
      <c r="I74" t="str" cm="1">
        <f t="array" ref="I74">_xlfn.IFS(D74&lt;20%,"Low Discount",D74&lt;=40%,"Medium Discount",D74&gt;40%,"High Discount")</f>
        <v>High Discount</v>
      </c>
    </row>
    <row r="75" spans="1:9">
      <c r="A75" t="s">
        <v>84</v>
      </c>
      <c r="B75" s="2">
        <v>1570</v>
      </c>
      <c r="C75" s="2">
        <v>2988</v>
      </c>
      <c r="D75" s="1">
        <v>0.47</v>
      </c>
      <c r="E75">
        <v>7</v>
      </c>
      <c r="F75">
        <v>2.1</v>
      </c>
      <c r="G75" s="2">
        <f t="shared" si="2"/>
        <v>1418</v>
      </c>
      <c r="H75" t="str" cm="1">
        <f t="array" ref="H75">_xlfn.IFS(F75&lt;3,"Poor",F75&lt;=4.4,"Average",F75&gt;=4.5,"Excellent")</f>
        <v>Poor</v>
      </c>
      <c r="I75" t="str" cm="1">
        <f t="array" ref="I75">_xlfn.IFS(D75&lt;20%,"Low Discount",D75&lt;=40%,"Medium Discount",D75&gt;40%,"High Discount")</f>
        <v>High Discount</v>
      </c>
    </row>
    <row r="76" spans="1:9">
      <c r="A76" t="s">
        <v>85</v>
      </c>
      <c r="B76">
        <v>790</v>
      </c>
      <c r="C76" s="2">
        <v>1485</v>
      </c>
      <c r="D76" s="1">
        <v>0.47</v>
      </c>
      <c r="E76" t="s">
        <v>31</v>
      </c>
      <c r="F76" t="s">
        <v>31</v>
      </c>
      <c r="G76" s="2">
        <f t="shared" si="2"/>
        <v>695</v>
      </c>
      <c r="H76" t="str" cm="1">
        <f t="array" ref="H76">_xlfn.IFS(F76&lt;3,"Poor",F76&lt;=4.4,"Average",F76&gt;=4.5,"Excellent")</f>
        <v>Excellent</v>
      </c>
      <c r="I76" t="str" cm="1">
        <f t="array" ref="I76">_xlfn.IFS(D76&lt;20%,"Low Discount",D76&lt;=40%,"Medium Discount",D76&gt;40%,"High Discount")</f>
        <v>High Discount</v>
      </c>
    </row>
    <row r="77" spans="1:9">
      <c r="A77" t="s">
        <v>86</v>
      </c>
      <c r="B77">
        <v>690</v>
      </c>
      <c r="C77" s="2">
        <v>1200</v>
      </c>
      <c r="D77" s="1">
        <v>0.43</v>
      </c>
      <c r="E77" t="s">
        <v>31</v>
      </c>
      <c r="F77" t="s">
        <v>31</v>
      </c>
      <c r="G77" s="2">
        <f t="shared" si="2"/>
        <v>510</v>
      </c>
      <c r="H77" t="str" cm="1">
        <f t="array" ref="H77">_xlfn.IFS(F77&lt;3,"Poor",F77&lt;=4.4,"Average",F77&gt;=4.5,"Excellent")</f>
        <v>Excellent</v>
      </c>
      <c r="I77" t="str" cm="1">
        <f t="array" ref="I77">_xlfn.IFS(D77&lt;20%,"Low Discount",D77&lt;=40%,"Medium Discount",D77&gt;40%,"High Discount")</f>
        <v>High Discount</v>
      </c>
    </row>
    <row r="78" spans="1:9">
      <c r="A78" t="s">
        <v>87</v>
      </c>
      <c r="B78" s="2">
        <v>1732</v>
      </c>
      <c r="C78" s="2">
        <v>1799</v>
      </c>
      <c r="D78" s="1">
        <v>0.04</v>
      </c>
      <c r="E78" t="s">
        <v>31</v>
      </c>
      <c r="F78" t="s">
        <v>31</v>
      </c>
      <c r="G78" s="2">
        <f t="shared" si="2"/>
        <v>67</v>
      </c>
      <c r="H78" t="str" cm="1">
        <f t="array" ref="H78">_xlfn.IFS(F78&lt;3,"Poor",F78&lt;=4.4,"Average",F78&gt;=4.5,"Excellent")</f>
        <v>Excellent</v>
      </c>
      <c r="I78" t="str" cm="1">
        <f t="array" ref="I78">_xlfn.IFS(D78&lt;20%,"Low Discount",D78&lt;=40%,"Medium Discount",D78&gt;40%,"High Discount")</f>
        <v>Low Discount</v>
      </c>
    </row>
    <row r="79" spans="1:9">
      <c r="A79" t="s">
        <v>88</v>
      </c>
      <c r="B79">
        <v>230</v>
      </c>
      <c r="C79">
        <v>450</v>
      </c>
      <c r="D79" s="1">
        <v>0.49</v>
      </c>
      <c r="E79" t="s">
        <v>31</v>
      </c>
      <c r="F79" t="s">
        <v>31</v>
      </c>
      <c r="G79" s="2">
        <f t="shared" si="2"/>
        <v>220</v>
      </c>
      <c r="H79" t="str" cm="1">
        <f t="array" ref="H79">_xlfn.IFS(F79&lt;3,"Poor",F79&lt;=4.4,"Average",F79&gt;=4.5,"Excellent")</f>
        <v>Excellent</v>
      </c>
      <c r="I79" t="str" cm="1">
        <f t="array" ref="I79">_xlfn.IFS(D79&lt;20%,"Low Discount",D79&lt;=40%,"Medium Discount",D79&gt;40%,"High Discount")</f>
        <v>High Discount</v>
      </c>
    </row>
    <row r="80" spans="1:9">
      <c r="A80" t="s">
        <v>89</v>
      </c>
      <c r="B80" s="2">
        <v>1189</v>
      </c>
      <c r="C80" s="2">
        <v>2199</v>
      </c>
      <c r="D80" s="1">
        <v>0.46</v>
      </c>
      <c r="E80">
        <v>1</v>
      </c>
      <c r="F80">
        <v>3</v>
      </c>
      <c r="G80" s="2">
        <f t="shared" si="2"/>
        <v>1010</v>
      </c>
      <c r="H80" t="str" cm="1">
        <f t="array" ref="H80">_xlfn.IFS(F80&lt;3,"Poor",F80&lt;=4.4,"Average",F80&gt;=4.5,"Excellent")</f>
        <v>Average</v>
      </c>
      <c r="I80" t="str" cm="1">
        <f t="array" ref="I80">_xlfn.IFS(D80&lt;20%,"Low Discount",D80&lt;=40%,"Medium Discount",D80&gt;40%,"High Discount")</f>
        <v>High Discount</v>
      </c>
    </row>
    <row r="81" spans="1:9">
      <c r="A81" t="s">
        <v>90</v>
      </c>
      <c r="B81">
        <v>979</v>
      </c>
      <c r="C81" s="2">
        <v>1920</v>
      </c>
      <c r="D81" s="1">
        <v>0.49</v>
      </c>
      <c r="E81">
        <v>1</v>
      </c>
      <c r="F81">
        <v>5</v>
      </c>
      <c r="G81" s="2">
        <f t="shared" si="2"/>
        <v>941</v>
      </c>
      <c r="H81" t="str" cm="1">
        <f t="array" ref="H81">_xlfn.IFS(F81&lt;3,"Poor",F81&lt;=4.4,"Average",F81&gt;=4.5,"Excellent")</f>
        <v>Excellent</v>
      </c>
      <c r="I81" t="str" cm="1">
        <f t="array" ref="I81">_xlfn.IFS(D81&lt;20%,"Low Discount",D81&lt;=40%,"Medium Discount",D81&gt;40%,"High Discount")</f>
        <v>High Discount</v>
      </c>
    </row>
    <row r="82" spans="1:9">
      <c r="A82" t="s">
        <v>91</v>
      </c>
      <c r="B82" s="2">
        <v>1460</v>
      </c>
      <c r="C82" s="2">
        <v>2290</v>
      </c>
      <c r="D82" s="1">
        <v>0.36</v>
      </c>
      <c r="E82" t="s">
        <v>31</v>
      </c>
      <c r="F82" t="s">
        <v>31</v>
      </c>
      <c r="G82" s="2">
        <f t="shared" si="2"/>
        <v>830</v>
      </c>
      <c r="H82" t="str" cm="1">
        <f t="array" ref="H82">_xlfn.IFS(F82&lt;3,"Poor",F82&lt;=4.4,"Average",F82&gt;=4.5,"Excellent")</f>
        <v>Excellent</v>
      </c>
      <c r="I82" t="str" cm="1">
        <f t="array" ref="I82">_xlfn.IFS(D82&lt;20%,"Low Discount",D82&lt;=40%,"Medium Discount",D82&gt;40%,"High Discount")</f>
        <v>Medium Discount</v>
      </c>
    </row>
    <row r="83" spans="1:9">
      <c r="A83" t="s">
        <v>92</v>
      </c>
      <c r="B83" s="2">
        <v>1666</v>
      </c>
      <c r="C83" s="2">
        <v>1699</v>
      </c>
      <c r="D83" s="1">
        <v>0.02</v>
      </c>
      <c r="E83" t="s">
        <v>31</v>
      </c>
      <c r="F83" t="s">
        <v>31</v>
      </c>
      <c r="G83" s="2">
        <f t="shared" si="2"/>
        <v>33</v>
      </c>
      <c r="H83" t="str" cm="1">
        <f t="array" ref="H83">_xlfn.IFS(F83&lt;3,"Poor",F83&lt;=4.4,"Average",F83&gt;=4.5,"Excellent")</f>
        <v>Excellent</v>
      </c>
      <c r="I83" t="str" cm="1">
        <f t="array" ref="I83">_xlfn.IFS(D83&lt;20%,"Low Discount",D83&lt;=40%,"Medium Discount",D83&gt;40%,"High Discount")</f>
        <v>Low Discount</v>
      </c>
    </row>
    <row r="84" spans="1:9">
      <c r="A84" t="s">
        <v>93</v>
      </c>
      <c r="B84">
        <v>330</v>
      </c>
      <c r="C84">
        <v>647</v>
      </c>
      <c r="D84" s="1">
        <v>0.49</v>
      </c>
      <c r="E84">
        <v>1</v>
      </c>
      <c r="F84">
        <v>4</v>
      </c>
      <c r="G84" s="2">
        <f t="shared" si="2"/>
        <v>317</v>
      </c>
      <c r="H84" t="str" cm="1">
        <f t="array" ref="H84">_xlfn.IFS(F84&lt;3,"Poor",F84&lt;=4.4,"Average",F84&gt;=4.5,"Excellent")</f>
        <v>Average</v>
      </c>
      <c r="I84" t="str" cm="1">
        <f t="array" ref="I84">_xlfn.IFS(D84&lt;20%,"Low Discount",D84&lt;=40%,"Medium Discount",D84&gt;40%,"High Discount")</f>
        <v>High Discount</v>
      </c>
    </row>
    <row r="85" spans="1:9">
      <c r="A85" t="s">
        <v>60</v>
      </c>
      <c r="B85">
        <v>176</v>
      </c>
      <c r="C85">
        <v>345</v>
      </c>
      <c r="D85" s="1">
        <v>0.49</v>
      </c>
      <c r="E85" t="s">
        <v>31</v>
      </c>
      <c r="F85" t="s">
        <v>31</v>
      </c>
      <c r="G85" s="2">
        <f t="shared" si="2"/>
        <v>169</v>
      </c>
      <c r="H85" t="str" cm="1">
        <f t="array" ref="H85">_xlfn.IFS(F85&lt;3,"Poor",F85&lt;=4.4,"Average",F85&gt;=4.5,"Excellent")</f>
        <v>Excellent</v>
      </c>
      <c r="I85" t="str" cm="1">
        <f t="array" ref="I85">_xlfn.IFS(D85&lt;20%,"Low Discount",D85&lt;=40%,"Medium Discount",D85&gt;40%,"High Discount")</f>
        <v>High Discount</v>
      </c>
    </row>
    <row r="86" spans="1:9">
      <c r="A86" t="s">
        <v>94</v>
      </c>
      <c r="B86" s="2">
        <v>1466</v>
      </c>
      <c r="C86" s="2">
        <v>1699</v>
      </c>
      <c r="D86" s="1">
        <v>0.14</v>
      </c>
      <c r="E86" t="s">
        <v>31</v>
      </c>
      <c r="F86" t="s">
        <v>31</v>
      </c>
      <c r="G86" s="2">
        <f t="shared" si="2"/>
        <v>233</v>
      </c>
      <c r="H86" t="str" cm="1">
        <f t="array" ref="H86">_xlfn.IFS(F86&lt;3,"Poor",F86&lt;=4.4,"Average",F86&gt;=4.5,"Excellent")</f>
        <v>Excellent</v>
      </c>
      <c r="I86" t="str" cm="1">
        <f t="array" ref="I86">_xlfn.IFS(D86&lt;20%,"Low Discount",D86&lt;=40%,"Medium Discount",D86&gt;40%,"High Discount")</f>
        <v>Low Discount</v>
      </c>
    </row>
    <row r="87" spans="1:9">
      <c r="A87" t="s">
        <v>95</v>
      </c>
      <c r="B87">
        <v>274</v>
      </c>
      <c r="C87">
        <v>537</v>
      </c>
      <c r="D87" s="1">
        <v>0.49</v>
      </c>
      <c r="E87" t="s">
        <v>31</v>
      </c>
      <c r="F87" t="s">
        <v>31</v>
      </c>
      <c r="G87" s="2">
        <f t="shared" si="2"/>
        <v>263</v>
      </c>
      <c r="H87" t="str" cm="1">
        <f t="array" ref="H87">_xlfn.IFS(F87&lt;3,"Poor",F87&lt;=4.4,"Average",F87&gt;=4.5,"Excellent")</f>
        <v>Excellent</v>
      </c>
      <c r="I87" t="str" cm="1">
        <f t="array" ref="I87">_xlfn.IFS(D87&lt;20%,"Low Discount",D87&lt;=40%,"Medium Discount",D87&gt;40%,"High Discount")</f>
        <v>High Discount</v>
      </c>
    </row>
    <row r="88" spans="1:9">
      <c r="A88" t="s">
        <v>96</v>
      </c>
      <c r="B88">
        <v>799</v>
      </c>
      <c r="C88">
        <v>900</v>
      </c>
      <c r="D88" s="1">
        <v>0.11</v>
      </c>
      <c r="E88" t="s">
        <v>31</v>
      </c>
      <c r="F88" t="s">
        <v>31</v>
      </c>
      <c r="G88" s="2">
        <f t="shared" si="2"/>
        <v>101</v>
      </c>
      <c r="H88" t="str" cm="1">
        <f t="array" ref="H88">_xlfn.IFS(F88&lt;3,"Poor",F88&lt;=4.4,"Average",F88&gt;=4.5,"Excellent")</f>
        <v>Excellent</v>
      </c>
      <c r="I88" t="str" cm="1">
        <f t="array" ref="I88">_xlfn.IFS(D88&lt;20%,"Low Discount",D88&lt;=40%,"Medium Discount",D88&gt;40%,"High Discount")</f>
        <v>Low Discount</v>
      </c>
    </row>
    <row r="89" spans="1:9">
      <c r="A89" t="s">
        <v>68</v>
      </c>
      <c r="B89">
        <v>657</v>
      </c>
      <c r="C89" s="2">
        <v>1288</v>
      </c>
      <c r="D89" s="1">
        <v>0.49</v>
      </c>
      <c r="E89" t="s">
        <v>31</v>
      </c>
      <c r="F89" t="s">
        <v>31</v>
      </c>
      <c r="G89" s="2">
        <f t="shared" si="2"/>
        <v>631</v>
      </c>
      <c r="H89" t="str" cm="1">
        <f t="array" ref="H89">_xlfn.IFS(F89&lt;3,"Poor",F89&lt;=4.4,"Average",F89&gt;=4.5,"Excellent")</f>
        <v>Excellent</v>
      </c>
      <c r="I89" t="str" cm="1">
        <f t="array" ref="I89">_xlfn.IFS(D89&lt;20%,"Low Discount",D89&lt;=40%,"Medium Discount",D89&gt;40%,"High Discount")</f>
        <v>High Discount</v>
      </c>
    </row>
    <row r="90" spans="1:9">
      <c r="A90" t="s">
        <v>97</v>
      </c>
      <c r="B90" s="2">
        <v>1468</v>
      </c>
      <c r="C90" s="2">
        <v>1699</v>
      </c>
      <c r="D90" s="1">
        <v>0.14</v>
      </c>
      <c r="E90" t="s">
        <v>31</v>
      </c>
      <c r="F90" t="s">
        <v>31</v>
      </c>
      <c r="G90" s="2">
        <f t="shared" si="2"/>
        <v>231</v>
      </c>
      <c r="H90" t="str" cm="1">
        <f t="array" ref="H90">_xlfn.IFS(F90&lt;3,"Poor",F90&lt;=4.4,"Average",F90&gt;=4.5,"Excellent")</f>
        <v>Excellent</v>
      </c>
      <c r="I90" t="str" cm="1">
        <f t="array" ref="I90">_xlfn.IFS(D90&lt;20%,"Low Discount",D90&lt;=40%,"Medium Discount",D90&gt;40%,"High Discount")</f>
        <v>Low Discount</v>
      </c>
    </row>
    <row r="91" spans="1:9">
      <c r="A91" t="s">
        <v>98</v>
      </c>
      <c r="B91">
        <v>630</v>
      </c>
      <c r="C91" s="2">
        <v>1100</v>
      </c>
      <c r="D91" s="1">
        <v>0.43</v>
      </c>
      <c r="E91" t="s">
        <v>31</v>
      </c>
      <c r="F91" t="s">
        <v>31</v>
      </c>
      <c r="G91" s="2">
        <f t="shared" si="2"/>
        <v>470</v>
      </c>
      <c r="H91" t="str" cm="1">
        <f t="array" ref="H91">_xlfn.IFS(F91&lt;3,"Poor",F91&lt;=4.4,"Average",F91&gt;=4.5,"Excellent")</f>
        <v>Excellent</v>
      </c>
      <c r="I91" t="str" cm="1">
        <f t="array" ref="I91">_xlfn.IFS(D91&lt;20%,"Low Discount",D91&lt;=40%,"Medium Discount",D91&gt;40%,"High Discount")</f>
        <v>High Discount</v>
      </c>
    </row>
    <row r="92" spans="1:9">
      <c r="A92" t="s">
        <v>99</v>
      </c>
      <c r="B92">
        <v>850</v>
      </c>
      <c r="C92" s="2">
        <v>1700</v>
      </c>
      <c r="D92" s="1">
        <v>0.5</v>
      </c>
      <c r="E92" t="s">
        <v>31</v>
      </c>
      <c r="F92" t="s">
        <v>31</v>
      </c>
      <c r="G92" s="2">
        <f t="shared" si="2"/>
        <v>850</v>
      </c>
      <c r="H92" t="str" cm="1">
        <f t="array" ref="H92">_xlfn.IFS(F92&lt;3,"Poor",F92&lt;=4.4,"Average",F92&gt;=4.5,"Excellent")</f>
        <v>Excellent</v>
      </c>
      <c r="I92" t="str" cm="1">
        <f t="array" ref="I92">_xlfn.IFS(D92&lt;20%,"Low Discount",D92&lt;=40%,"Medium Discount",D92&gt;40%,"High Discount")</f>
        <v>High Discount</v>
      </c>
    </row>
    <row r="93" spans="1:9">
      <c r="A93" t="s">
        <v>100</v>
      </c>
      <c r="B93" s="2">
        <v>1300</v>
      </c>
      <c r="C93" s="2">
        <v>2500</v>
      </c>
      <c r="D93" s="1">
        <v>0.48</v>
      </c>
      <c r="E93" t="s">
        <v>31</v>
      </c>
      <c r="F93" t="s">
        <v>31</v>
      </c>
      <c r="G93" s="2">
        <f t="shared" si="2"/>
        <v>1200</v>
      </c>
      <c r="H93" t="str" cm="1">
        <f t="array" ref="H93">_xlfn.IFS(F93&lt;3,"Poor",F93&lt;=4.4,"Average",F93&gt;=4.5,"Excellent")</f>
        <v>Excellent</v>
      </c>
      <c r="I93" t="str" cm="1">
        <f t="array" ref="I93">_xlfn.IFS(D93&lt;20%,"Low Discount",D93&lt;=40%,"Medium Discount",D93&gt;40%,"High Discount")</f>
        <v>High Discount</v>
      </c>
    </row>
    <row r="94" spans="1:9">
      <c r="A94" t="s">
        <v>101</v>
      </c>
      <c r="B94">
        <v>105</v>
      </c>
      <c r="C94">
        <v>200</v>
      </c>
      <c r="D94" s="1">
        <v>0.48</v>
      </c>
      <c r="E94" t="s">
        <v>31</v>
      </c>
      <c r="F94" t="s">
        <v>31</v>
      </c>
      <c r="G94" s="2">
        <f t="shared" si="2"/>
        <v>95</v>
      </c>
      <c r="H94" t="str" cm="1">
        <f t="array" ref="H94">_xlfn.IFS(F94&lt;3,"Poor",F94&lt;=4.4,"Average",F94&gt;=4.5,"Excellent")</f>
        <v>Excellent</v>
      </c>
      <c r="I94" t="str" cm="1">
        <f t="array" ref="I94">_xlfn.IFS(D94&lt;20%,"Low Discount",D94&lt;=40%,"Medium Discount",D94&gt;40%,"High Discount")</f>
        <v>High Discount</v>
      </c>
    </row>
    <row r="95" spans="1:9">
      <c r="A95" t="s">
        <v>102</v>
      </c>
      <c r="B95">
        <v>899</v>
      </c>
      <c r="C95" s="2">
        <v>1699</v>
      </c>
      <c r="D95" s="1">
        <v>0.47</v>
      </c>
      <c r="E95" t="s">
        <v>31</v>
      </c>
      <c r="F95" t="s">
        <v>31</v>
      </c>
      <c r="G95" s="2">
        <f t="shared" si="2"/>
        <v>800</v>
      </c>
      <c r="H95" t="str" cm="1">
        <f t="array" ref="H95">_xlfn.IFS(F95&lt;3,"Poor",F95&lt;=4.4,"Average",F95&gt;=4.5,"Excellent")</f>
        <v>Excellent</v>
      </c>
      <c r="I95" t="str" cm="1">
        <f t="array" ref="I95">_xlfn.IFS(D95&lt;20%,"Low Discount",D95&lt;=40%,"Medium Discount",D95&gt;40%,"High Discount")</f>
        <v>High Discount</v>
      </c>
    </row>
    <row r="96" spans="1:9">
      <c r="A96" t="s">
        <v>103</v>
      </c>
      <c r="B96" s="2">
        <v>1200</v>
      </c>
      <c r="C96" s="2">
        <v>2400</v>
      </c>
      <c r="D96" s="1">
        <v>0.5</v>
      </c>
      <c r="E96" t="s">
        <v>31</v>
      </c>
      <c r="F96" t="s">
        <v>31</v>
      </c>
      <c r="G96" s="2">
        <f t="shared" si="2"/>
        <v>1200</v>
      </c>
      <c r="H96" t="str" cm="1">
        <f t="array" ref="H96">_xlfn.IFS(F96&lt;3,"Poor",F96&lt;=4.4,"Average",F96&gt;=4.5,"Excellent")</f>
        <v>Excellent</v>
      </c>
      <c r="I96" t="str" cm="1">
        <f t="array" ref="I96">_xlfn.IFS(D96&lt;20%,"Low Discount",D96&lt;=40%,"Medium Discount",D96&gt;40%,"High Discount")</f>
        <v>High Discount</v>
      </c>
    </row>
    <row r="97" spans="1:9">
      <c r="A97" t="s">
        <v>104</v>
      </c>
      <c r="B97" s="2">
        <v>1526</v>
      </c>
      <c r="C97" s="2">
        <v>1660</v>
      </c>
      <c r="D97" s="1">
        <v>0.08</v>
      </c>
      <c r="E97" t="s">
        <v>31</v>
      </c>
      <c r="F97" t="s">
        <v>31</v>
      </c>
      <c r="G97" s="2">
        <f t="shared" si="2"/>
        <v>134</v>
      </c>
      <c r="H97" t="str" cm="1">
        <f t="array" ref="H97">_xlfn.IFS(F97&lt;3,"Poor",F97&lt;=4.4,"Average",F97&gt;=4.5,"Excellent")</f>
        <v>Excellent</v>
      </c>
      <c r="I97" t="str" cm="1">
        <f t="array" ref="I97">_xlfn.IFS(D97&lt;20%,"Low Discount",D97&lt;=40%,"Medium Discount",D97&gt;40%,"High Discount")</f>
        <v>Low Discount</v>
      </c>
    </row>
    <row r="98" spans="1:9">
      <c r="A98" t="s">
        <v>105</v>
      </c>
      <c r="B98" s="2">
        <v>1462</v>
      </c>
      <c r="C98" s="2">
        <v>1499</v>
      </c>
      <c r="D98" s="1">
        <v>0.02</v>
      </c>
      <c r="E98" t="s">
        <v>31</v>
      </c>
      <c r="F98" t="s">
        <v>31</v>
      </c>
      <c r="G98" s="2">
        <f t="shared" si="2"/>
        <v>37</v>
      </c>
      <c r="H98" t="str" cm="1">
        <f t="array" ref="H98">_xlfn.IFS(F98&lt;3,"Poor",F98&lt;=4.4,"Average",F98&gt;=4.5,"Excellent")</f>
        <v>Excellent</v>
      </c>
      <c r="I98" t="str" cm="1">
        <f t="array" ref="I98">_xlfn.IFS(D98&lt;20%,"Low Discount",D98&lt;=40%,"Medium Discount",D98&gt;40%,"High Discount")</f>
        <v>Low Discount</v>
      </c>
    </row>
    <row r="99" spans="1:9">
      <c r="A99" t="s">
        <v>106</v>
      </c>
      <c r="B99">
        <v>248</v>
      </c>
      <c r="C99">
        <v>486</v>
      </c>
      <c r="D99" s="1">
        <v>0.49</v>
      </c>
      <c r="E99" t="s">
        <v>31</v>
      </c>
      <c r="F99" t="s">
        <v>31</v>
      </c>
      <c r="G99" s="2">
        <f t="shared" si="2"/>
        <v>238</v>
      </c>
      <c r="H99" t="str" cm="1">
        <f t="array" ref="H99">_xlfn.IFS(F99&lt;3,"Poor",F99&lt;=4.4,"Average",F99&gt;=4.5,"Excellent")</f>
        <v>Excellent</v>
      </c>
      <c r="I99" t="str" cm="1">
        <f t="array" ref="I99">_xlfn.IFS(D99&lt;20%,"Low Discount",D99&lt;=40%,"Medium Discount",D99&gt;40%,"High Discount")</f>
        <v>High Discount</v>
      </c>
    </row>
    <row r="100" spans="1:9">
      <c r="A100" t="s">
        <v>107</v>
      </c>
      <c r="B100" s="2">
        <v>3546</v>
      </c>
      <c r="C100" s="2">
        <v>3699</v>
      </c>
      <c r="D100" s="1">
        <v>0.04</v>
      </c>
      <c r="E100" t="s">
        <v>31</v>
      </c>
      <c r="F100" t="s">
        <v>31</v>
      </c>
      <c r="G100" s="2">
        <f t="shared" si="2"/>
        <v>153</v>
      </c>
      <c r="H100" t="str" cm="1">
        <f t="array" ref="H100">_xlfn.IFS(F100&lt;3,"Poor",F100&lt;=4.4,"Average",F100&gt;=4.5,"Excellent")</f>
        <v>Excellent</v>
      </c>
      <c r="I100" t="str" cm="1">
        <f t="array" ref="I100">_xlfn.IFS(D100&lt;20%,"Low Discount",D100&lt;=40%,"Medium Discount",D100&gt;40%,"High Discount")</f>
        <v>Low Discount</v>
      </c>
    </row>
    <row r="101" spans="1:9">
      <c r="A101" t="s">
        <v>108</v>
      </c>
      <c r="B101">
        <v>525</v>
      </c>
      <c r="C101" s="2">
        <v>1029</v>
      </c>
      <c r="D101" s="1">
        <v>0.49</v>
      </c>
      <c r="E101" t="s">
        <v>31</v>
      </c>
      <c r="F101" t="s">
        <v>31</v>
      </c>
      <c r="G101" s="2">
        <f t="shared" si="2"/>
        <v>504</v>
      </c>
      <c r="H101" t="str" cm="1">
        <f t="array" ref="H101">_xlfn.IFS(F101&lt;3,"Poor",F101&lt;=4.4,"Average",F101&gt;=4.5,"Excellent")</f>
        <v>Excellent</v>
      </c>
      <c r="I101" t="str" cm="1">
        <f t="array" ref="I101">_xlfn.IFS(D101&lt;20%,"Low Discount",D101&lt;=40%,"Medium Discount",D101&gt;40%,"High Discount")</f>
        <v>High Discount</v>
      </c>
    </row>
    <row r="102" spans="1:9">
      <c r="A102" t="s">
        <v>109</v>
      </c>
      <c r="B102" s="2">
        <v>1080</v>
      </c>
      <c r="C102" s="2">
        <v>1874</v>
      </c>
      <c r="D102" s="1">
        <v>0.42</v>
      </c>
      <c r="E102" t="s">
        <v>31</v>
      </c>
      <c r="F102" t="s">
        <v>31</v>
      </c>
      <c r="G102" s="2">
        <f t="shared" si="2"/>
        <v>794</v>
      </c>
      <c r="H102" t="str" cm="1">
        <f t="array" ref="H102">_xlfn.IFS(F102&lt;3,"Poor",F102&lt;=4.4,"Average",F102&gt;=4.5,"Excellent")</f>
        <v>Excellent</v>
      </c>
      <c r="I102" t="str" cm="1">
        <f t="array" ref="I102">_xlfn.IFS(D102&lt;20%,"Low Discount",D102&lt;=40%,"Medium Discount",D102&gt;40%,"High Discount")</f>
        <v>High Discount</v>
      </c>
    </row>
    <row r="103" spans="1:9">
      <c r="A103" t="s">
        <v>110</v>
      </c>
      <c r="B103" s="2">
        <v>3640</v>
      </c>
      <c r="C103" s="2">
        <v>4588</v>
      </c>
      <c r="D103" s="1">
        <v>0.21</v>
      </c>
      <c r="E103">
        <v>1</v>
      </c>
      <c r="F103">
        <v>5</v>
      </c>
      <c r="G103" s="2">
        <f t="shared" si="2"/>
        <v>948</v>
      </c>
      <c r="H103" t="str" cm="1">
        <f t="array" ref="H103">_xlfn.IFS(F103&lt;3,"Poor",F103&lt;=4.4,"Average",F103&gt;=4.5,"Excellent")</f>
        <v>Excellent</v>
      </c>
      <c r="I103" t="str" cm="1">
        <f t="array" ref="I103">_xlfn.IFS(D103&lt;20%,"Low Discount",D103&lt;=40%,"Medium Discount",D103&gt;40%,"High Discount")</f>
        <v>Medium Discount</v>
      </c>
    </row>
    <row r="104" spans="1:9">
      <c r="A104" t="s">
        <v>111</v>
      </c>
      <c r="B104" s="2">
        <v>1420</v>
      </c>
      <c r="C104" s="2">
        <v>2420</v>
      </c>
      <c r="D104" s="1">
        <v>0.41</v>
      </c>
      <c r="E104" t="s">
        <v>31</v>
      </c>
      <c r="F104" t="s">
        <v>31</v>
      </c>
      <c r="G104" s="2">
        <f t="shared" si="2"/>
        <v>1000</v>
      </c>
      <c r="H104" t="str" cm="1">
        <f t="array" ref="H104">_xlfn.IFS(F104&lt;3,"Poor",F104&lt;=4.4,"Average",F104&gt;=4.5,"Excellent")</f>
        <v>Excellent</v>
      </c>
      <c r="I104" t="str" cm="1">
        <f t="array" ref="I104">_xlfn.IFS(D104&lt;20%,"Low Discount",D104&lt;=40%,"Medium Discount",D104&gt;40%,"High Discount")</f>
        <v>High Discount</v>
      </c>
    </row>
    <row r="105" spans="1:9">
      <c r="A105" t="s">
        <v>112</v>
      </c>
      <c r="B105" s="2">
        <v>1875</v>
      </c>
      <c r="C105" s="2">
        <v>1899</v>
      </c>
      <c r="D105" s="1">
        <v>0.01</v>
      </c>
      <c r="E105" t="s">
        <v>31</v>
      </c>
      <c r="F105" t="s">
        <v>31</v>
      </c>
      <c r="G105" s="2">
        <f t="shared" si="2"/>
        <v>24</v>
      </c>
      <c r="H105" t="str" cm="1">
        <f t="array" ref="H105">_xlfn.IFS(F105&lt;3,"Poor",F105&lt;=4.4,"Average",F105&gt;=4.5,"Excellent")</f>
        <v>Excellent</v>
      </c>
      <c r="I105" t="str" cm="1">
        <f t="array" ref="I105">_xlfn.IFS(D105&lt;20%,"Low Discount",D105&lt;=40%,"Medium Discount",D105&gt;40%,"High Discount")</f>
        <v>Low Discount</v>
      </c>
    </row>
    <row r="106" spans="1:9">
      <c r="A106" t="s">
        <v>113</v>
      </c>
      <c r="B106">
        <v>198</v>
      </c>
      <c r="C106">
        <v>260</v>
      </c>
      <c r="D106" s="1">
        <v>0.24</v>
      </c>
      <c r="E106" t="s">
        <v>31</v>
      </c>
      <c r="F106" t="s">
        <v>31</v>
      </c>
      <c r="G106" s="2">
        <f t="shared" si="2"/>
        <v>62</v>
      </c>
      <c r="H106" t="str" cm="1">
        <f t="array" ref="H106">_xlfn.IFS(F106&lt;3,"Poor",F106&lt;=4.4,"Average",F106&gt;=4.5,"Excellent")</f>
        <v>Excellent</v>
      </c>
      <c r="I106" t="str" cm="1">
        <f t="array" ref="I106">_xlfn.IFS(D106&lt;20%,"Low Discount",D106&lt;=40%,"Medium Discount",D106&gt;40%,"High Discount")</f>
        <v>Medium Discount</v>
      </c>
    </row>
    <row r="107" spans="1:9">
      <c r="A107" t="s">
        <v>114</v>
      </c>
      <c r="B107" s="2">
        <v>1150</v>
      </c>
      <c r="C107" s="2">
        <v>1737</v>
      </c>
      <c r="D107" s="1">
        <v>0.34</v>
      </c>
      <c r="E107" t="s">
        <v>31</v>
      </c>
      <c r="F107" t="s">
        <v>31</v>
      </c>
      <c r="G107" s="2">
        <f t="shared" si="2"/>
        <v>587</v>
      </c>
      <c r="H107" t="str" cm="1">
        <f t="array" ref="H107">_xlfn.IFS(F107&lt;3,"Poor",F107&lt;=4.4,"Average",F107&gt;=4.5,"Excellent")</f>
        <v>Excellent</v>
      </c>
      <c r="I107" t="str" cm="1">
        <f t="array" ref="I107">_xlfn.IFS(D107&lt;20%,"Low Discount",D107&lt;=40%,"Medium Discount",D107&gt;40%,"High Discount")</f>
        <v>Medium Discount</v>
      </c>
    </row>
    <row r="108" spans="1:9">
      <c r="A108" t="s">
        <v>115</v>
      </c>
      <c r="B108" s="2">
        <v>1190</v>
      </c>
      <c r="C108" s="2">
        <v>1810</v>
      </c>
      <c r="D108" s="1">
        <v>0.34</v>
      </c>
      <c r="E108" t="s">
        <v>31</v>
      </c>
      <c r="F108" t="s">
        <v>31</v>
      </c>
      <c r="G108" s="2">
        <f t="shared" si="2"/>
        <v>620</v>
      </c>
      <c r="H108" t="str" cm="1">
        <f t="array" ref="H108">_xlfn.IFS(F108&lt;3,"Poor",F108&lt;=4.4,"Average",F108&gt;=4.5,"Excellent")</f>
        <v>Excellent</v>
      </c>
      <c r="I108" t="str" cm="1">
        <f t="array" ref="I108">_xlfn.IFS(D108&lt;20%,"Low Discount",D108&lt;=40%,"Medium Discount",D108&gt;40%,"High Discount")</f>
        <v>Medium Discount</v>
      </c>
    </row>
    <row r="109" spans="1:9">
      <c r="A109" t="s">
        <v>116</v>
      </c>
      <c r="B109" s="2">
        <v>1658</v>
      </c>
      <c r="C109" s="2">
        <v>1699</v>
      </c>
      <c r="D109" s="1">
        <v>0.02</v>
      </c>
      <c r="E109" t="s">
        <v>31</v>
      </c>
      <c r="F109" t="s">
        <v>31</v>
      </c>
      <c r="G109" s="2">
        <f t="shared" si="2"/>
        <v>41</v>
      </c>
      <c r="H109" t="str" cm="1">
        <f t="array" ref="H109">_xlfn.IFS(F109&lt;3,"Poor",F109&lt;=4.4,"Average",F109&gt;=4.5,"Excellent")</f>
        <v>Excellent</v>
      </c>
      <c r="I109" t="str" cm="1">
        <f t="array" ref="I109">_xlfn.IFS(D109&lt;20%,"Low Discount",D109&lt;=40%,"Medium Discount",D109&gt;40%,"High Discount")</f>
        <v>Low Discount</v>
      </c>
    </row>
    <row r="110" spans="1:9">
      <c r="A110" t="s">
        <v>117</v>
      </c>
      <c r="B110" s="2">
        <v>1768</v>
      </c>
      <c r="C110" s="2">
        <v>1799</v>
      </c>
      <c r="D110" s="1">
        <v>0.02</v>
      </c>
      <c r="E110" t="s">
        <v>31</v>
      </c>
      <c r="F110" t="s">
        <v>31</v>
      </c>
      <c r="G110" s="2">
        <f t="shared" si="2"/>
        <v>31</v>
      </c>
      <c r="H110" t="str" cm="1">
        <f t="array" ref="H110">_xlfn.IFS(F110&lt;3,"Poor",F110&lt;=4.4,"Average",F110&gt;=4.5,"Excellent")</f>
        <v>Excellent</v>
      </c>
      <c r="I110" t="str" cm="1">
        <f t="array" ref="I110">_xlfn.IFS(D110&lt;20%,"Low Discount",D110&lt;=40%,"Medium Discount",D110&gt;40%,"High Discount")</f>
        <v>Low Discount</v>
      </c>
    </row>
    <row r="111" spans="1:9">
      <c r="A111" t="s">
        <v>118</v>
      </c>
      <c r="B111">
        <v>199</v>
      </c>
      <c r="C111">
        <v>553</v>
      </c>
      <c r="D111" s="1">
        <v>0.64</v>
      </c>
      <c r="E111" t="s">
        <v>31</v>
      </c>
      <c r="F111" t="s">
        <v>31</v>
      </c>
      <c r="G111" s="2">
        <f t="shared" si="2"/>
        <v>354</v>
      </c>
      <c r="H111" t="str" cm="1">
        <f t="array" ref="H111">_xlfn.IFS(F111&lt;3,"Poor",F111&lt;=4.4,"Average",F111&gt;=4.5,"Excellent")</f>
        <v>Excellent</v>
      </c>
      <c r="I111" t="str" cm="1">
        <f t="array" ref="I111">_xlfn.IFS(D111&lt;20%,"Low Discount",D111&lt;=40%,"Medium Discount",D111&gt;40%,"High Discount")</f>
        <v>High Discount</v>
      </c>
    </row>
    <row r="112" spans="1:9">
      <c r="A112" t="s">
        <v>119</v>
      </c>
      <c r="B112">
        <v>450</v>
      </c>
      <c r="C112">
        <v>900</v>
      </c>
      <c r="D112" s="1">
        <v>0.5</v>
      </c>
      <c r="E112">
        <v>1</v>
      </c>
      <c r="F112">
        <v>2</v>
      </c>
      <c r="G112" s="2">
        <f t="shared" si="2"/>
        <v>450</v>
      </c>
      <c r="H112" t="str" cm="1">
        <f t="array" ref="H112">_xlfn.IFS(F112&lt;3,"Poor",F112&lt;=4.4,"Average",F112&gt;=4.5,"Excellent")</f>
        <v>Poor</v>
      </c>
      <c r="I112" t="str" cm="1">
        <f t="array" ref="I112">_xlfn.IFS(D112&lt;20%,"Low Discount",D112&lt;=40%,"Medium Discount",D112&gt;40%,"High Discount")</f>
        <v>High Discount</v>
      </c>
    </row>
    <row r="113" spans="1:9">
      <c r="A113" t="s">
        <v>120</v>
      </c>
      <c r="B113">
        <v>169</v>
      </c>
      <c r="C113">
        <v>320</v>
      </c>
      <c r="D113" s="1">
        <v>0.47</v>
      </c>
      <c r="E113" t="s">
        <v>31</v>
      </c>
      <c r="F113" t="s">
        <v>31</v>
      </c>
      <c r="G113" s="2">
        <f t="shared" si="2"/>
        <v>151</v>
      </c>
      <c r="H113" t="str" cm="1">
        <f t="array" ref="H113">_xlfn.IFS(F113&lt;3,"Poor",F113&lt;=4.4,"Average",F113&gt;=4.5,"Excellent")</f>
        <v>Excellent</v>
      </c>
      <c r="I113" t="str" cm="1">
        <f t="array" ref="I113">_xlfn.IFS(D113&lt;20%,"Low Discount",D113&lt;=40%,"Medium Discount",D113&gt;40%,"High Discount")</f>
        <v>High Discount</v>
      </c>
    </row>
    <row r="114" spans="2:10">
      <c r="B114" t="s">
        <v>0</v>
      </c>
      <c r="C114" t="s">
        <v>8</v>
      </c>
      <c r="D114" t="s">
        <v>121</v>
      </c>
      <c r="E114" t="s">
        <v>122</v>
      </c>
      <c r="F114" t="s">
        <v>123</v>
      </c>
      <c r="G114" t="s">
        <v>124</v>
      </c>
      <c r="H114" t="s">
        <v>125</v>
      </c>
      <c r="I114" t="s">
        <v>126</v>
      </c>
      <c r="J114" t="s">
        <v>127</v>
      </c>
    </row>
    <row r="115" spans="2:10">
      <c r="B115" t="s">
        <v>29</v>
      </c>
      <c r="D115">
        <v>38</v>
      </c>
      <c r="E115" t="e">
        <v>#DIV/0!</v>
      </c>
      <c r="F115" t="e">
        <v>#DIV/0!</v>
      </c>
      <c r="G115">
        <v>80</v>
      </c>
      <c r="H115">
        <v>1</v>
      </c>
      <c r="I115">
        <v>1</v>
      </c>
      <c r="J115">
        <v>1</v>
      </c>
    </row>
    <row r="116" spans="3:10">
      <c r="C116" t="s">
        <v>128</v>
      </c>
      <c r="D116">
        <v>38</v>
      </c>
      <c r="E116" t="e">
        <v>#DIV/0!</v>
      </c>
      <c r="F116" t="e">
        <v>#DIV/0!</v>
      </c>
      <c r="G116">
        <v>80</v>
      </c>
      <c r="H116">
        <v>1</v>
      </c>
      <c r="I116">
        <v>1</v>
      </c>
      <c r="J116">
        <v>1</v>
      </c>
    </row>
    <row r="117" spans="2:10">
      <c r="B117" t="s">
        <v>101</v>
      </c>
      <c r="D117">
        <v>105</v>
      </c>
      <c r="E117" t="e">
        <v>#DIV/0!</v>
      </c>
      <c r="F117" t="e">
        <v>#DIV/0!</v>
      </c>
      <c r="G117">
        <v>200</v>
      </c>
      <c r="H117">
        <v>1</v>
      </c>
      <c r="I117">
        <v>1</v>
      </c>
      <c r="J117">
        <v>1</v>
      </c>
    </row>
    <row r="118" spans="3:10">
      <c r="C118" t="s">
        <v>128</v>
      </c>
      <c r="D118">
        <v>105</v>
      </c>
      <c r="E118" t="e">
        <v>#DIV/0!</v>
      </c>
      <c r="F118" t="e">
        <v>#DIV/0!</v>
      </c>
      <c r="G118">
        <v>200</v>
      </c>
      <c r="H118">
        <v>1</v>
      </c>
      <c r="I118">
        <v>1</v>
      </c>
      <c r="J118">
        <v>1</v>
      </c>
    </row>
    <row r="119" spans="2:10">
      <c r="B119" t="s">
        <v>120</v>
      </c>
      <c r="D119">
        <v>169</v>
      </c>
      <c r="E119" t="e">
        <v>#DIV/0!</v>
      </c>
      <c r="F119" t="e">
        <v>#DIV/0!</v>
      </c>
      <c r="G119">
        <v>320</v>
      </c>
      <c r="H119">
        <v>1</v>
      </c>
      <c r="I119">
        <v>1</v>
      </c>
      <c r="J119">
        <v>1</v>
      </c>
    </row>
    <row r="120" spans="3:10">
      <c r="C120" t="s">
        <v>128</v>
      </c>
      <c r="D120">
        <v>169</v>
      </c>
      <c r="E120" t="e">
        <v>#DIV/0!</v>
      </c>
      <c r="F120" t="e">
        <v>#DIV/0!</v>
      </c>
      <c r="G120">
        <v>320</v>
      </c>
      <c r="H120">
        <v>1</v>
      </c>
      <c r="I120">
        <v>1</v>
      </c>
      <c r="J120">
        <v>1</v>
      </c>
    </row>
    <row r="121" spans="2:10">
      <c r="B121" t="s">
        <v>46</v>
      </c>
      <c r="D121">
        <v>171</v>
      </c>
      <c r="E121" t="e">
        <v>#DIV/0!</v>
      </c>
      <c r="F121" t="e">
        <v>#DIV/0!</v>
      </c>
      <c r="G121">
        <v>360</v>
      </c>
      <c r="H121">
        <v>1</v>
      </c>
      <c r="I121">
        <v>1</v>
      </c>
      <c r="J121">
        <v>1</v>
      </c>
    </row>
    <row r="122" spans="3:10">
      <c r="C122" t="s">
        <v>128</v>
      </c>
      <c r="D122">
        <v>171</v>
      </c>
      <c r="E122" t="e">
        <v>#DIV/0!</v>
      </c>
      <c r="F122" t="e">
        <v>#DIV/0!</v>
      </c>
      <c r="G122">
        <v>360</v>
      </c>
      <c r="H122">
        <v>1</v>
      </c>
      <c r="I122">
        <v>1</v>
      </c>
      <c r="J122">
        <v>1</v>
      </c>
    </row>
    <row r="123" spans="2:10">
      <c r="B123" t="s">
        <v>40</v>
      </c>
      <c r="D123">
        <v>185</v>
      </c>
      <c r="E123" t="e">
        <v>#DIV/0!</v>
      </c>
      <c r="F123" t="e">
        <v>#DIV/0!</v>
      </c>
      <c r="G123">
        <v>382</v>
      </c>
      <c r="H123">
        <v>1</v>
      </c>
      <c r="I123">
        <v>1</v>
      </c>
      <c r="J123">
        <v>1</v>
      </c>
    </row>
    <row r="124" spans="3:10">
      <c r="C124" t="s">
        <v>128</v>
      </c>
      <c r="D124">
        <v>185</v>
      </c>
      <c r="E124" t="e">
        <v>#DIV/0!</v>
      </c>
      <c r="F124" t="e">
        <v>#DIV/0!</v>
      </c>
      <c r="G124">
        <v>382</v>
      </c>
      <c r="H124">
        <v>1</v>
      </c>
      <c r="I124">
        <v>1</v>
      </c>
      <c r="J124">
        <v>1</v>
      </c>
    </row>
    <row r="125" spans="2:10">
      <c r="B125" t="s">
        <v>60</v>
      </c>
      <c r="D125">
        <v>187.5</v>
      </c>
      <c r="E125" t="e">
        <v>#DIV/0!</v>
      </c>
      <c r="F125" t="e">
        <v>#DIV/0!</v>
      </c>
      <c r="G125">
        <v>424.5</v>
      </c>
      <c r="H125">
        <v>2</v>
      </c>
      <c r="I125">
        <v>2</v>
      </c>
      <c r="J125">
        <v>2</v>
      </c>
    </row>
    <row r="126" spans="3:10">
      <c r="C126" t="s">
        <v>128</v>
      </c>
      <c r="D126">
        <v>187.5</v>
      </c>
      <c r="E126" t="e">
        <v>#DIV/0!</v>
      </c>
      <c r="F126" t="e">
        <v>#DIV/0!</v>
      </c>
      <c r="G126">
        <v>424.5</v>
      </c>
      <c r="H126">
        <v>2</v>
      </c>
      <c r="I126">
        <v>2</v>
      </c>
      <c r="J126">
        <v>2</v>
      </c>
    </row>
    <row r="127" spans="2:10">
      <c r="B127" t="s">
        <v>25</v>
      </c>
      <c r="D127">
        <v>195</v>
      </c>
      <c r="E127" t="e">
        <v>#DIV/0!</v>
      </c>
      <c r="F127" t="e">
        <v>#DIV/0!</v>
      </c>
      <c r="G127">
        <v>360</v>
      </c>
      <c r="H127">
        <v>1</v>
      </c>
      <c r="I127">
        <v>1</v>
      </c>
      <c r="J127">
        <v>1</v>
      </c>
    </row>
    <row r="128" spans="3:10">
      <c r="C128" t="s">
        <v>128</v>
      </c>
      <c r="D128">
        <v>195</v>
      </c>
      <c r="E128" t="e">
        <v>#DIV/0!</v>
      </c>
      <c r="F128" t="e">
        <v>#DIV/0!</v>
      </c>
      <c r="G128">
        <v>360</v>
      </c>
      <c r="H128">
        <v>1</v>
      </c>
      <c r="I128">
        <v>1</v>
      </c>
      <c r="J128">
        <v>1</v>
      </c>
    </row>
    <row r="129" spans="2:10">
      <c r="B129" t="s">
        <v>113</v>
      </c>
      <c r="D129">
        <v>198</v>
      </c>
      <c r="E129" t="e">
        <v>#DIV/0!</v>
      </c>
      <c r="F129" t="e">
        <v>#DIV/0!</v>
      </c>
      <c r="G129">
        <v>260</v>
      </c>
      <c r="H129">
        <v>1</v>
      </c>
      <c r="I129">
        <v>1</v>
      </c>
      <c r="J129">
        <v>1</v>
      </c>
    </row>
    <row r="130" spans="3:10">
      <c r="C130" t="s">
        <v>129</v>
      </c>
      <c r="D130">
        <v>198</v>
      </c>
      <c r="E130" t="e">
        <v>#DIV/0!</v>
      </c>
      <c r="F130" t="e">
        <v>#DIV/0!</v>
      </c>
      <c r="G130">
        <v>260</v>
      </c>
      <c r="H130">
        <v>1</v>
      </c>
      <c r="I130">
        <v>1</v>
      </c>
      <c r="J130">
        <v>1</v>
      </c>
    </row>
    <row r="131" spans="2:10">
      <c r="B131" t="s">
        <v>118</v>
      </c>
      <c r="D131">
        <v>199</v>
      </c>
      <c r="E131" t="e">
        <v>#DIV/0!</v>
      </c>
      <c r="F131" t="e">
        <v>#DIV/0!</v>
      </c>
      <c r="G131">
        <v>553</v>
      </c>
      <c r="H131">
        <v>1</v>
      </c>
      <c r="I131">
        <v>1</v>
      </c>
      <c r="J131">
        <v>1</v>
      </c>
    </row>
    <row r="132" spans="3:10">
      <c r="C132" t="s">
        <v>128</v>
      </c>
      <c r="D132">
        <v>199</v>
      </c>
      <c r="E132" t="e">
        <v>#DIV/0!</v>
      </c>
      <c r="F132" t="e">
        <v>#DIV/0!</v>
      </c>
      <c r="G132">
        <v>553</v>
      </c>
      <c r="H132">
        <v>1</v>
      </c>
      <c r="I132">
        <v>1</v>
      </c>
      <c r="J132">
        <v>1</v>
      </c>
    </row>
    <row r="133" spans="2:10">
      <c r="B133" t="s">
        <v>88</v>
      </c>
      <c r="D133">
        <v>230</v>
      </c>
      <c r="E133" t="e">
        <v>#DIV/0!</v>
      </c>
      <c r="F133" t="e">
        <v>#DIV/0!</v>
      </c>
      <c r="G133">
        <v>450</v>
      </c>
      <c r="H133">
        <v>1</v>
      </c>
      <c r="I133">
        <v>1</v>
      </c>
      <c r="J133">
        <v>1</v>
      </c>
    </row>
    <row r="134" spans="3:10">
      <c r="C134" t="s">
        <v>128</v>
      </c>
      <c r="D134">
        <v>230</v>
      </c>
      <c r="E134" t="e">
        <v>#DIV/0!</v>
      </c>
      <c r="F134" t="e">
        <v>#DIV/0!</v>
      </c>
      <c r="G134">
        <v>450</v>
      </c>
      <c r="H134">
        <v>1</v>
      </c>
      <c r="I134">
        <v>1</v>
      </c>
      <c r="J134">
        <v>1</v>
      </c>
    </row>
    <row r="135" spans="2:10">
      <c r="B135" t="s">
        <v>53</v>
      </c>
      <c r="D135">
        <v>238</v>
      </c>
      <c r="E135" t="e">
        <v>#DIV/0!</v>
      </c>
      <c r="F135" t="e">
        <v>#DIV/0!</v>
      </c>
      <c r="G135">
        <v>476</v>
      </c>
      <c r="H135">
        <v>1</v>
      </c>
      <c r="I135">
        <v>1</v>
      </c>
      <c r="J135">
        <v>1</v>
      </c>
    </row>
    <row r="136" spans="3:10">
      <c r="C136" t="s">
        <v>128</v>
      </c>
      <c r="D136">
        <v>238</v>
      </c>
      <c r="E136" t="e">
        <v>#DIV/0!</v>
      </c>
      <c r="F136" t="e">
        <v>#DIV/0!</v>
      </c>
      <c r="G136">
        <v>476</v>
      </c>
      <c r="H136">
        <v>1</v>
      </c>
      <c r="I136">
        <v>1</v>
      </c>
      <c r="J136">
        <v>1</v>
      </c>
    </row>
    <row r="137" spans="2:10">
      <c r="B137" t="s">
        <v>106</v>
      </c>
      <c r="D137">
        <v>248</v>
      </c>
      <c r="E137" t="e">
        <v>#DIV/0!</v>
      </c>
      <c r="F137" t="e">
        <v>#DIV/0!</v>
      </c>
      <c r="G137">
        <v>486</v>
      </c>
      <c r="H137">
        <v>1</v>
      </c>
      <c r="I137">
        <v>1</v>
      </c>
      <c r="J137">
        <v>1</v>
      </c>
    </row>
    <row r="138" spans="3:10">
      <c r="C138" t="s">
        <v>128</v>
      </c>
      <c r="D138">
        <v>248</v>
      </c>
      <c r="E138" t="e">
        <v>#DIV/0!</v>
      </c>
      <c r="F138" t="e">
        <v>#DIV/0!</v>
      </c>
      <c r="G138">
        <v>486</v>
      </c>
      <c r="H138">
        <v>1</v>
      </c>
      <c r="I138">
        <v>1</v>
      </c>
      <c r="J138">
        <v>1</v>
      </c>
    </row>
    <row r="139" spans="2:10">
      <c r="B139" t="s">
        <v>95</v>
      </c>
      <c r="D139">
        <v>274</v>
      </c>
      <c r="E139" t="e">
        <v>#DIV/0!</v>
      </c>
      <c r="F139" t="e">
        <v>#DIV/0!</v>
      </c>
      <c r="G139">
        <v>537</v>
      </c>
      <c r="H139">
        <v>1</v>
      </c>
      <c r="I139">
        <v>1</v>
      </c>
      <c r="J139">
        <v>1</v>
      </c>
    </row>
    <row r="140" spans="3:10">
      <c r="C140" t="s">
        <v>128</v>
      </c>
      <c r="D140">
        <v>274</v>
      </c>
      <c r="E140" t="e">
        <v>#DIV/0!</v>
      </c>
      <c r="F140" t="e">
        <v>#DIV/0!</v>
      </c>
      <c r="G140">
        <v>537</v>
      </c>
      <c r="H140">
        <v>1</v>
      </c>
      <c r="I140">
        <v>1</v>
      </c>
      <c r="J140">
        <v>1</v>
      </c>
    </row>
    <row r="141" spans="2:10">
      <c r="B141" t="s">
        <v>61</v>
      </c>
      <c r="D141">
        <v>299</v>
      </c>
      <c r="E141" t="e">
        <v>#DIV/0!</v>
      </c>
      <c r="F141" t="e">
        <v>#DIV/0!</v>
      </c>
      <c r="G141">
        <v>600</v>
      </c>
      <c r="H141">
        <v>1</v>
      </c>
      <c r="I141">
        <v>1</v>
      </c>
      <c r="J141">
        <v>1</v>
      </c>
    </row>
    <row r="142" spans="3:10">
      <c r="C142" t="s">
        <v>128</v>
      </c>
      <c r="D142">
        <v>299</v>
      </c>
      <c r="E142" t="e">
        <v>#DIV/0!</v>
      </c>
      <c r="F142" t="e">
        <v>#DIV/0!</v>
      </c>
      <c r="G142">
        <v>600</v>
      </c>
      <c r="H142">
        <v>1</v>
      </c>
      <c r="I142">
        <v>1</v>
      </c>
      <c r="J142">
        <v>1</v>
      </c>
    </row>
    <row r="143" spans="2:10">
      <c r="B143" t="s">
        <v>63</v>
      </c>
      <c r="D143">
        <v>299</v>
      </c>
      <c r="E143" t="e">
        <v>#DIV/0!</v>
      </c>
      <c r="F143" t="e">
        <v>#DIV/0!</v>
      </c>
      <c r="G143">
        <v>384</v>
      </c>
      <c r="H143">
        <v>1</v>
      </c>
      <c r="I143">
        <v>1</v>
      </c>
      <c r="J143">
        <v>1</v>
      </c>
    </row>
    <row r="144" spans="3:10">
      <c r="C144" t="s">
        <v>129</v>
      </c>
      <c r="D144">
        <v>299</v>
      </c>
      <c r="E144" t="e">
        <v>#DIV/0!</v>
      </c>
      <c r="F144" t="e">
        <v>#DIV/0!</v>
      </c>
      <c r="G144">
        <v>384</v>
      </c>
      <c r="H144">
        <v>1</v>
      </c>
      <c r="I144">
        <v>1</v>
      </c>
      <c r="J144">
        <v>1</v>
      </c>
    </row>
    <row r="145" spans="2:10">
      <c r="B145" t="s">
        <v>74</v>
      </c>
      <c r="D145">
        <v>325</v>
      </c>
      <c r="E145" t="e">
        <v>#DIV/0!</v>
      </c>
      <c r="F145" t="e">
        <v>#DIV/0!</v>
      </c>
      <c r="G145">
        <v>680</v>
      </c>
      <c r="H145">
        <v>1</v>
      </c>
      <c r="I145">
        <v>1</v>
      </c>
      <c r="J145">
        <v>1</v>
      </c>
    </row>
    <row r="146" spans="3:10">
      <c r="C146" t="s">
        <v>128</v>
      </c>
      <c r="D146">
        <v>325</v>
      </c>
      <c r="E146" t="e">
        <v>#DIV/0!</v>
      </c>
      <c r="F146" t="e">
        <v>#DIV/0!</v>
      </c>
      <c r="G146">
        <v>680</v>
      </c>
      <c r="H146">
        <v>1</v>
      </c>
      <c r="I146">
        <v>1</v>
      </c>
      <c r="J146">
        <v>1</v>
      </c>
    </row>
    <row r="147" spans="2:10">
      <c r="B147" t="s">
        <v>93</v>
      </c>
      <c r="D147">
        <v>330</v>
      </c>
      <c r="E147" t="e">
        <v>#DIV/0!</v>
      </c>
      <c r="F147" t="e">
        <v>#DIV/0!</v>
      </c>
      <c r="G147">
        <v>647</v>
      </c>
      <c r="H147">
        <v>1</v>
      </c>
      <c r="I147">
        <v>1</v>
      </c>
      <c r="J147">
        <v>1</v>
      </c>
    </row>
    <row r="148" spans="3:10">
      <c r="C148" t="s">
        <v>128</v>
      </c>
      <c r="D148">
        <v>330</v>
      </c>
      <c r="E148" t="e">
        <v>#DIV/0!</v>
      </c>
      <c r="F148" t="e">
        <v>#DIV/0!</v>
      </c>
      <c r="G148">
        <v>647</v>
      </c>
      <c r="H148">
        <v>1</v>
      </c>
      <c r="I148">
        <v>1</v>
      </c>
      <c r="J148">
        <v>1</v>
      </c>
    </row>
    <row r="149" spans="2:10">
      <c r="B149" t="s">
        <v>24</v>
      </c>
      <c r="D149">
        <v>332</v>
      </c>
      <c r="E149" t="e">
        <v>#DIV/0!</v>
      </c>
      <c r="F149" t="e">
        <v>#DIV/0!</v>
      </c>
      <c r="G149">
        <v>684</v>
      </c>
      <c r="H149">
        <v>1</v>
      </c>
      <c r="I149">
        <v>1</v>
      </c>
      <c r="J149">
        <v>1</v>
      </c>
    </row>
    <row r="150" spans="3:10">
      <c r="C150" t="s">
        <v>128</v>
      </c>
      <c r="D150">
        <v>332</v>
      </c>
      <c r="E150" t="e">
        <v>#DIV/0!</v>
      </c>
      <c r="F150" t="e">
        <v>#DIV/0!</v>
      </c>
      <c r="G150">
        <v>684</v>
      </c>
      <c r="H150">
        <v>1</v>
      </c>
      <c r="I150">
        <v>1</v>
      </c>
      <c r="J150">
        <v>1</v>
      </c>
    </row>
    <row r="151" spans="2:10">
      <c r="B151" t="s">
        <v>81</v>
      </c>
      <c r="D151">
        <v>345</v>
      </c>
      <c r="E151" t="e">
        <v>#DIV/0!</v>
      </c>
      <c r="F151" t="e">
        <v>#DIV/0!</v>
      </c>
      <c r="G151">
        <v>602</v>
      </c>
      <c r="H151">
        <v>1</v>
      </c>
      <c r="I151">
        <v>1</v>
      </c>
      <c r="J151">
        <v>1</v>
      </c>
    </row>
    <row r="152" spans="3:10">
      <c r="C152" t="s">
        <v>128</v>
      </c>
      <c r="D152">
        <v>345</v>
      </c>
      <c r="E152" t="e">
        <v>#DIV/0!</v>
      </c>
      <c r="F152" t="e">
        <v>#DIV/0!</v>
      </c>
      <c r="G152">
        <v>602</v>
      </c>
      <c r="H152">
        <v>1</v>
      </c>
      <c r="I152">
        <v>1</v>
      </c>
      <c r="J152">
        <v>1</v>
      </c>
    </row>
    <row r="153" spans="2:10">
      <c r="B153" t="s">
        <v>79</v>
      </c>
      <c r="D153">
        <v>382</v>
      </c>
      <c r="E153" t="e">
        <v>#DIV/0!</v>
      </c>
      <c r="F153" t="e">
        <v>#DIV/0!</v>
      </c>
      <c r="G153">
        <v>700</v>
      </c>
      <c r="H153">
        <v>1</v>
      </c>
      <c r="I153">
        <v>1</v>
      </c>
      <c r="J153">
        <v>1</v>
      </c>
    </row>
    <row r="154" spans="3:10">
      <c r="C154" t="s">
        <v>128</v>
      </c>
      <c r="D154">
        <v>382</v>
      </c>
      <c r="E154" t="e">
        <v>#DIV/0!</v>
      </c>
      <c r="F154" t="e">
        <v>#DIV/0!</v>
      </c>
      <c r="G154">
        <v>700</v>
      </c>
      <c r="H154">
        <v>1</v>
      </c>
      <c r="I154">
        <v>1</v>
      </c>
      <c r="J154">
        <v>1</v>
      </c>
    </row>
    <row r="155" spans="2:10">
      <c r="B155" t="s">
        <v>47</v>
      </c>
      <c r="D155">
        <v>389</v>
      </c>
      <c r="E155" t="e">
        <v>#DIV/0!</v>
      </c>
      <c r="F155" t="e">
        <v>#DIV/0!</v>
      </c>
      <c r="G155">
        <v>656</v>
      </c>
      <c r="H155">
        <v>1</v>
      </c>
      <c r="I155">
        <v>1</v>
      </c>
      <c r="J155">
        <v>1</v>
      </c>
    </row>
    <row r="156" spans="3:10">
      <c r="C156" t="s">
        <v>128</v>
      </c>
      <c r="D156">
        <v>389</v>
      </c>
      <c r="E156" t="e">
        <v>#DIV/0!</v>
      </c>
      <c r="F156" t="e">
        <v>#DIV/0!</v>
      </c>
      <c r="G156">
        <v>656</v>
      </c>
      <c r="H156">
        <v>1</v>
      </c>
      <c r="I156">
        <v>1</v>
      </c>
      <c r="J156">
        <v>1</v>
      </c>
    </row>
    <row r="157" spans="2:10">
      <c r="B157" t="s">
        <v>35</v>
      </c>
      <c r="D157">
        <v>420</v>
      </c>
      <c r="E157" t="e">
        <v>#DIV/0!</v>
      </c>
      <c r="F157" t="e">
        <v>#DIV/0!</v>
      </c>
      <c r="G157">
        <v>647</v>
      </c>
      <c r="H157">
        <v>1</v>
      </c>
      <c r="I157">
        <v>1</v>
      </c>
      <c r="J157">
        <v>1</v>
      </c>
    </row>
    <row r="158" spans="3:10">
      <c r="C158" t="s">
        <v>129</v>
      </c>
      <c r="D158">
        <v>420</v>
      </c>
      <c r="E158" t="e">
        <v>#DIV/0!</v>
      </c>
      <c r="F158" t="e">
        <v>#DIV/0!</v>
      </c>
      <c r="G158">
        <v>647</v>
      </c>
      <c r="H158">
        <v>1</v>
      </c>
      <c r="I158">
        <v>1</v>
      </c>
      <c r="J158">
        <v>1</v>
      </c>
    </row>
    <row r="159" spans="2:10">
      <c r="B159" t="s">
        <v>73</v>
      </c>
      <c r="D159">
        <v>445</v>
      </c>
      <c r="E159" t="e">
        <v>#DIV/0!</v>
      </c>
      <c r="F159" t="e">
        <v>#DIV/0!</v>
      </c>
      <c r="G159">
        <v>873</v>
      </c>
      <c r="H159">
        <v>1</v>
      </c>
      <c r="I159">
        <v>1</v>
      </c>
      <c r="J159">
        <v>1</v>
      </c>
    </row>
    <row r="160" spans="3:10">
      <c r="C160" t="s">
        <v>128</v>
      </c>
      <c r="D160">
        <v>445</v>
      </c>
      <c r="E160" t="e">
        <v>#DIV/0!</v>
      </c>
      <c r="F160" t="e">
        <v>#DIV/0!</v>
      </c>
      <c r="G160">
        <v>873</v>
      </c>
      <c r="H160">
        <v>1</v>
      </c>
      <c r="I160">
        <v>1</v>
      </c>
      <c r="J160">
        <v>1</v>
      </c>
    </row>
    <row r="161" spans="2:10">
      <c r="B161" t="s">
        <v>66</v>
      </c>
      <c r="D161">
        <v>449</v>
      </c>
      <c r="E161" t="e">
        <v>#DIV/0!</v>
      </c>
      <c r="F161" t="e">
        <v>#DIV/0!</v>
      </c>
      <c r="G161">
        <v>898</v>
      </c>
      <c r="H161">
        <v>2</v>
      </c>
      <c r="I161">
        <v>2</v>
      </c>
      <c r="J161">
        <v>2</v>
      </c>
    </row>
    <row r="162" spans="3:10">
      <c r="C162" t="s">
        <v>128</v>
      </c>
      <c r="D162">
        <v>449</v>
      </c>
      <c r="E162" t="e">
        <v>#DIV/0!</v>
      </c>
      <c r="F162" t="e">
        <v>#DIV/0!</v>
      </c>
      <c r="G162">
        <v>898</v>
      </c>
      <c r="H162">
        <v>2</v>
      </c>
      <c r="I162">
        <v>2</v>
      </c>
      <c r="J162">
        <v>2</v>
      </c>
    </row>
    <row r="163" spans="2:10">
      <c r="B163" t="s">
        <v>119</v>
      </c>
      <c r="D163">
        <v>450</v>
      </c>
      <c r="E163" t="e">
        <v>#DIV/0!</v>
      </c>
      <c r="F163" t="e">
        <v>#DIV/0!</v>
      </c>
      <c r="G163">
        <v>900</v>
      </c>
      <c r="H163">
        <v>1</v>
      </c>
      <c r="I163">
        <v>1</v>
      </c>
      <c r="J163">
        <v>1</v>
      </c>
    </row>
    <row r="164" spans="3:10">
      <c r="C164" t="s">
        <v>128</v>
      </c>
      <c r="D164">
        <v>450</v>
      </c>
      <c r="E164" t="e">
        <v>#DIV/0!</v>
      </c>
      <c r="F164" t="e">
        <v>#DIV/0!</v>
      </c>
      <c r="G164">
        <v>900</v>
      </c>
      <c r="H164">
        <v>1</v>
      </c>
      <c r="I164">
        <v>1</v>
      </c>
      <c r="J164">
        <v>1</v>
      </c>
    </row>
    <row r="165" spans="2:10">
      <c r="B165" t="s">
        <v>71</v>
      </c>
      <c r="D165">
        <v>458</v>
      </c>
      <c r="E165" t="e">
        <v>#DIV/0!</v>
      </c>
      <c r="F165" t="e">
        <v>#DIV/0!</v>
      </c>
      <c r="G165">
        <v>986</v>
      </c>
      <c r="H165">
        <v>1</v>
      </c>
      <c r="I165">
        <v>1</v>
      </c>
      <c r="J165">
        <v>1</v>
      </c>
    </row>
    <row r="166" spans="3:10">
      <c r="C166" t="s">
        <v>128</v>
      </c>
      <c r="D166">
        <v>458</v>
      </c>
      <c r="E166" t="e">
        <v>#DIV/0!</v>
      </c>
      <c r="F166" t="e">
        <v>#DIV/0!</v>
      </c>
      <c r="G166">
        <v>986</v>
      </c>
      <c r="H166">
        <v>1</v>
      </c>
      <c r="I166">
        <v>1</v>
      </c>
      <c r="J166">
        <v>1</v>
      </c>
    </row>
    <row r="167" spans="2:10">
      <c r="B167" t="s">
        <v>52</v>
      </c>
      <c r="D167">
        <v>475</v>
      </c>
      <c r="E167" t="e">
        <v>#DIV/0!</v>
      </c>
      <c r="F167" t="e">
        <v>#DIV/0!</v>
      </c>
      <c r="G167">
        <v>931</v>
      </c>
      <c r="H167">
        <v>1</v>
      </c>
      <c r="I167">
        <v>1</v>
      </c>
      <c r="J167">
        <v>1</v>
      </c>
    </row>
    <row r="168" spans="3:10">
      <c r="C168" t="s">
        <v>128</v>
      </c>
      <c r="D168">
        <v>475</v>
      </c>
      <c r="E168" t="e">
        <v>#DIV/0!</v>
      </c>
      <c r="F168" t="e">
        <v>#DIV/0!</v>
      </c>
      <c r="G168">
        <v>931</v>
      </c>
      <c r="H168">
        <v>1</v>
      </c>
      <c r="I168">
        <v>1</v>
      </c>
      <c r="J168">
        <v>1</v>
      </c>
    </row>
    <row r="169" spans="2:10">
      <c r="B169" t="s">
        <v>22</v>
      </c>
      <c r="D169">
        <v>501</v>
      </c>
      <c r="E169" t="e">
        <v>#DIV/0!</v>
      </c>
      <c r="F169" t="e">
        <v>#DIV/0!</v>
      </c>
      <c r="G169">
        <v>860</v>
      </c>
      <c r="H169">
        <v>1</v>
      </c>
      <c r="I169">
        <v>1</v>
      </c>
      <c r="J169">
        <v>1</v>
      </c>
    </row>
    <row r="170" spans="3:10">
      <c r="C170" t="s">
        <v>128</v>
      </c>
      <c r="D170">
        <v>501</v>
      </c>
      <c r="E170" t="e">
        <v>#DIV/0!</v>
      </c>
      <c r="F170" t="e">
        <v>#DIV/0!</v>
      </c>
      <c r="G170">
        <v>860</v>
      </c>
      <c r="H170">
        <v>1</v>
      </c>
      <c r="I170">
        <v>1</v>
      </c>
      <c r="J170">
        <v>1</v>
      </c>
    </row>
    <row r="171" spans="2:10">
      <c r="B171" t="s">
        <v>82</v>
      </c>
      <c r="D171">
        <v>509</v>
      </c>
      <c r="E171" t="e">
        <v>#DIV/0!</v>
      </c>
      <c r="F171" t="e">
        <v>#DIV/0!</v>
      </c>
      <c r="G171">
        <v>899</v>
      </c>
      <c r="H171">
        <v>1</v>
      </c>
      <c r="I171">
        <v>1</v>
      </c>
      <c r="J171">
        <v>1</v>
      </c>
    </row>
    <row r="172" spans="3:10">
      <c r="C172" t="s">
        <v>128</v>
      </c>
      <c r="D172">
        <v>509</v>
      </c>
      <c r="E172" t="e">
        <v>#DIV/0!</v>
      </c>
      <c r="F172" t="e">
        <v>#DIV/0!</v>
      </c>
      <c r="G172">
        <v>899</v>
      </c>
      <c r="H172">
        <v>1</v>
      </c>
      <c r="I172">
        <v>1</v>
      </c>
      <c r="J172">
        <v>1</v>
      </c>
    </row>
    <row r="173" spans="2:10">
      <c r="B173" t="s">
        <v>108</v>
      </c>
      <c r="D173">
        <v>525</v>
      </c>
      <c r="E173" t="e">
        <v>#DIV/0!</v>
      </c>
      <c r="F173" t="e">
        <v>#DIV/0!</v>
      </c>
      <c r="G173">
        <v>1029</v>
      </c>
      <c r="H173">
        <v>1</v>
      </c>
      <c r="I173">
        <v>1</v>
      </c>
      <c r="J173">
        <v>1</v>
      </c>
    </row>
    <row r="174" spans="3:10">
      <c r="C174" t="s">
        <v>128</v>
      </c>
      <c r="D174">
        <v>525</v>
      </c>
      <c r="E174" t="e">
        <v>#DIV/0!</v>
      </c>
      <c r="F174" t="e">
        <v>#DIV/0!</v>
      </c>
      <c r="G174">
        <v>1029</v>
      </c>
      <c r="H174">
        <v>1</v>
      </c>
      <c r="I174">
        <v>1</v>
      </c>
      <c r="J174">
        <v>1</v>
      </c>
    </row>
    <row r="175" spans="2:10">
      <c r="B175" t="s">
        <v>10</v>
      </c>
      <c r="D175">
        <v>527</v>
      </c>
      <c r="E175" t="e">
        <v>#DIV/0!</v>
      </c>
      <c r="F175" t="e">
        <v>#DIV/0!</v>
      </c>
      <c r="G175">
        <v>999</v>
      </c>
      <c r="H175">
        <v>1</v>
      </c>
      <c r="I175">
        <v>1</v>
      </c>
      <c r="J175">
        <v>1</v>
      </c>
    </row>
    <row r="176" spans="3:10">
      <c r="C176" t="s">
        <v>128</v>
      </c>
      <c r="D176">
        <v>527</v>
      </c>
      <c r="E176" t="e">
        <v>#DIV/0!</v>
      </c>
      <c r="F176" t="e">
        <v>#DIV/0!</v>
      </c>
      <c r="G176">
        <v>999</v>
      </c>
      <c r="H176">
        <v>1</v>
      </c>
      <c r="I176">
        <v>1</v>
      </c>
      <c r="J176">
        <v>1</v>
      </c>
    </row>
    <row r="177" spans="2:10">
      <c r="B177" t="s">
        <v>21</v>
      </c>
      <c r="D177">
        <v>552</v>
      </c>
      <c r="E177" t="e">
        <v>#DIV/0!</v>
      </c>
      <c r="F177" t="e">
        <v>#DIV/0!</v>
      </c>
      <c r="G177">
        <v>1035</v>
      </c>
      <c r="H177">
        <v>1</v>
      </c>
      <c r="I177">
        <v>1</v>
      </c>
      <c r="J177">
        <v>1</v>
      </c>
    </row>
    <row r="178" spans="3:10">
      <c r="C178" t="s">
        <v>128</v>
      </c>
      <c r="D178">
        <v>552</v>
      </c>
      <c r="E178" t="e">
        <v>#DIV/0!</v>
      </c>
      <c r="F178" t="e">
        <v>#DIV/0!</v>
      </c>
      <c r="G178">
        <v>1035</v>
      </c>
      <c r="H178">
        <v>1</v>
      </c>
      <c r="I178">
        <v>1</v>
      </c>
      <c r="J178">
        <v>1</v>
      </c>
    </row>
    <row r="179" spans="2:10">
      <c r="B179" t="s">
        <v>54</v>
      </c>
      <c r="D179">
        <v>610</v>
      </c>
      <c r="E179" t="e">
        <v>#DIV/0!</v>
      </c>
      <c r="F179" t="e">
        <v>#DIV/0!</v>
      </c>
      <c r="G179">
        <v>1060</v>
      </c>
      <c r="H179">
        <v>1</v>
      </c>
      <c r="I179">
        <v>1</v>
      </c>
      <c r="J179">
        <v>1</v>
      </c>
    </row>
    <row r="180" spans="3:10">
      <c r="C180" t="s">
        <v>128</v>
      </c>
      <c r="D180">
        <v>610</v>
      </c>
      <c r="E180" t="e">
        <v>#DIV/0!</v>
      </c>
      <c r="F180" t="e">
        <v>#DIV/0!</v>
      </c>
      <c r="G180">
        <v>1060</v>
      </c>
      <c r="H180">
        <v>1</v>
      </c>
      <c r="I180">
        <v>1</v>
      </c>
      <c r="J180">
        <v>1</v>
      </c>
    </row>
    <row r="181" spans="2:10">
      <c r="B181" t="s">
        <v>98</v>
      </c>
      <c r="D181">
        <v>630</v>
      </c>
      <c r="E181" t="e">
        <v>#DIV/0!</v>
      </c>
      <c r="F181" t="e">
        <v>#DIV/0!</v>
      </c>
      <c r="G181">
        <v>1100</v>
      </c>
      <c r="H181">
        <v>1</v>
      </c>
      <c r="I181">
        <v>1</v>
      </c>
      <c r="J181">
        <v>1</v>
      </c>
    </row>
    <row r="182" spans="3:10">
      <c r="C182" t="s">
        <v>128</v>
      </c>
      <c r="D182">
        <v>630</v>
      </c>
      <c r="E182" t="e">
        <v>#DIV/0!</v>
      </c>
      <c r="F182" t="e">
        <v>#DIV/0!</v>
      </c>
      <c r="G182">
        <v>1100</v>
      </c>
      <c r="H182">
        <v>1</v>
      </c>
      <c r="I182">
        <v>1</v>
      </c>
      <c r="J182">
        <v>1</v>
      </c>
    </row>
    <row r="183" spans="2:10">
      <c r="B183" t="s">
        <v>58</v>
      </c>
      <c r="D183">
        <v>671</v>
      </c>
      <c r="E183" t="e">
        <v>#DIV/0!</v>
      </c>
      <c r="F183" t="e">
        <v>#DIV/0!</v>
      </c>
      <c r="G183">
        <v>1316</v>
      </c>
      <c r="H183">
        <v>1</v>
      </c>
      <c r="I183">
        <v>1</v>
      </c>
      <c r="J183">
        <v>1</v>
      </c>
    </row>
    <row r="184" spans="3:10">
      <c r="C184" t="s">
        <v>128</v>
      </c>
      <c r="D184">
        <v>671</v>
      </c>
      <c r="E184" t="e">
        <v>#DIV/0!</v>
      </c>
      <c r="F184" t="e">
        <v>#DIV/0!</v>
      </c>
      <c r="G184">
        <v>1316</v>
      </c>
      <c r="H184">
        <v>1</v>
      </c>
      <c r="I184">
        <v>1</v>
      </c>
      <c r="J184">
        <v>1</v>
      </c>
    </row>
    <row r="185" spans="2:10">
      <c r="B185" t="s">
        <v>86</v>
      </c>
      <c r="D185">
        <v>690</v>
      </c>
      <c r="E185" t="e">
        <v>#DIV/0!</v>
      </c>
      <c r="F185" t="e">
        <v>#DIV/0!</v>
      </c>
      <c r="G185">
        <v>1200</v>
      </c>
      <c r="H185">
        <v>1</v>
      </c>
      <c r="I185">
        <v>1</v>
      </c>
      <c r="J185">
        <v>1</v>
      </c>
    </row>
    <row r="186" spans="3:10">
      <c r="C186" t="s">
        <v>128</v>
      </c>
      <c r="D186">
        <v>690</v>
      </c>
      <c r="E186" t="e">
        <v>#DIV/0!</v>
      </c>
      <c r="F186" t="e">
        <v>#DIV/0!</v>
      </c>
      <c r="G186">
        <v>1200</v>
      </c>
      <c r="H186">
        <v>1</v>
      </c>
      <c r="I186">
        <v>1</v>
      </c>
      <c r="J186">
        <v>1</v>
      </c>
    </row>
    <row r="187" spans="2:10">
      <c r="B187" t="s">
        <v>67</v>
      </c>
      <c r="D187">
        <v>699</v>
      </c>
      <c r="E187" t="e">
        <v>#DIV/0!</v>
      </c>
      <c r="F187" t="e">
        <v>#DIV/0!</v>
      </c>
      <c r="G187">
        <v>1343</v>
      </c>
      <c r="H187">
        <v>1</v>
      </c>
      <c r="I187">
        <v>1</v>
      </c>
      <c r="J187">
        <v>1</v>
      </c>
    </row>
    <row r="188" spans="3:10">
      <c r="C188" t="s">
        <v>128</v>
      </c>
      <c r="D188">
        <v>699</v>
      </c>
      <c r="E188" t="e">
        <v>#DIV/0!</v>
      </c>
      <c r="F188" t="e">
        <v>#DIV/0!</v>
      </c>
      <c r="G188">
        <v>1343</v>
      </c>
      <c r="H188">
        <v>1</v>
      </c>
      <c r="I188">
        <v>1</v>
      </c>
      <c r="J188">
        <v>1</v>
      </c>
    </row>
    <row r="189" spans="2:10">
      <c r="B189" t="s">
        <v>68</v>
      </c>
      <c r="D189">
        <v>728</v>
      </c>
      <c r="E189" t="e">
        <v>#DIV/0!</v>
      </c>
      <c r="F189" t="e">
        <v>#DIV/0!</v>
      </c>
      <c r="G189">
        <v>1427.5</v>
      </c>
      <c r="H189">
        <v>2</v>
      </c>
      <c r="I189">
        <v>2</v>
      </c>
      <c r="J189">
        <v>2</v>
      </c>
    </row>
    <row r="190" spans="3:10">
      <c r="C190" t="s">
        <v>128</v>
      </c>
      <c r="D190">
        <v>728</v>
      </c>
      <c r="E190" t="e">
        <v>#DIV/0!</v>
      </c>
      <c r="F190" t="e">
        <v>#DIV/0!</v>
      </c>
      <c r="G190">
        <v>1427.5</v>
      </c>
      <c r="H190">
        <v>2</v>
      </c>
      <c r="I190">
        <v>2</v>
      </c>
      <c r="J190">
        <v>2</v>
      </c>
    </row>
    <row r="191" spans="2:10">
      <c r="B191" t="s">
        <v>85</v>
      </c>
      <c r="D191">
        <v>790</v>
      </c>
      <c r="E191" t="e">
        <v>#DIV/0!</v>
      </c>
      <c r="F191" t="e">
        <v>#DIV/0!</v>
      </c>
      <c r="G191">
        <v>1485</v>
      </c>
      <c r="H191">
        <v>1</v>
      </c>
      <c r="I191">
        <v>1</v>
      </c>
      <c r="J191">
        <v>1</v>
      </c>
    </row>
    <row r="192" spans="3:10">
      <c r="C192" t="s">
        <v>128</v>
      </c>
      <c r="D192">
        <v>790</v>
      </c>
      <c r="E192" t="e">
        <v>#DIV/0!</v>
      </c>
      <c r="F192" t="e">
        <v>#DIV/0!</v>
      </c>
      <c r="G192">
        <v>1485</v>
      </c>
      <c r="H192">
        <v>1</v>
      </c>
      <c r="I192">
        <v>1</v>
      </c>
      <c r="J192">
        <v>1</v>
      </c>
    </row>
    <row r="193" spans="2:10">
      <c r="B193" t="s">
        <v>65</v>
      </c>
      <c r="D193">
        <v>799</v>
      </c>
      <c r="E193" t="e">
        <v>#DIV/0!</v>
      </c>
      <c r="F193" t="e">
        <v>#DIV/0!</v>
      </c>
      <c r="G193">
        <v>1343</v>
      </c>
      <c r="H193">
        <v>1</v>
      </c>
      <c r="I193">
        <v>1</v>
      </c>
      <c r="J193">
        <v>1</v>
      </c>
    </row>
    <row r="194" spans="3:10">
      <c r="C194" t="s">
        <v>128</v>
      </c>
      <c r="D194">
        <v>799</v>
      </c>
      <c r="E194" t="e">
        <v>#DIV/0!</v>
      </c>
      <c r="F194" t="e">
        <v>#DIV/0!</v>
      </c>
      <c r="G194">
        <v>1343</v>
      </c>
      <c r="H194">
        <v>1</v>
      </c>
      <c r="I194">
        <v>1</v>
      </c>
      <c r="J194">
        <v>1</v>
      </c>
    </row>
    <row r="195" spans="2:10">
      <c r="B195" t="s">
        <v>19</v>
      </c>
      <c r="D195">
        <v>799</v>
      </c>
      <c r="E195" t="e">
        <v>#DIV/0!</v>
      </c>
      <c r="F195" t="e">
        <v>#DIV/0!</v>
      </c>
      <c r="G195">
        <v>999</v>
      </c>
      <c r="H195">
        <v>1</v>
      </c>
      <c r="I195">
        <v>1</v>
      </c>
      <c r="J195">
        <v>1</v>
      </c>
    </row>
    <row r="196" spans="3:10">
      <c r="C196" t="s">
        <v>129</v>
      </c>
      <c r="D196">
        <v>799</v>
      </c>
      <c r="E196" t="e">
        <v>#DIV/0!</v>
      </c>
      <c r="F196" t="e">
        <v>#DIV/0!</v>
      </c>
      <c r="G196">
        <v>999</v>
      </c>
      <c r="H196">
        <v>1</v>
      </c>
      <c r="I196">
        <v>1</v>
      </c>
      <c r="J196">
        <v>1</v>
      </c>
    </row>
    <row r="197" spans="2:10">
      <c r="B197" t="s">
        <v>96</v>
      </c>
      <c r="D197">
        <v>799</v>
      </c>
      <c r="E197" t="e">
        <v>#DIV/0!</v>
      </c>
      <c r="F197" t="e">
        <v>#DIV/0!</v>
      </c>
      <c r="G197">
        <v>900</v>
      </c>
      <c r="H197">
        <v>1</v>
      </c>
      <c r="I197">
        <v>1</v>
      </c>
      <c r="J197">
        <v>1</v>
      </c>
    </row>
    <row r="198" spans="3:10">
      <c r="C198" t="s">
        <v>130</v>
      </c>
      <c r="D198">
        <v>799</v>
      </c>
      <c r="E198" t="e">
        <v>#DIV/0!</v>
      </c>
      <c r="F198" t="e">
        <v>#DIV/0!</v>
      </c>
      <c r="G198">
        <v>900</v>
      </c>
      <c r="H198">
        <v>1</v>
      </c>
      <c r="I198">
        <v>1</v>
      </c>
      <c r="J198">
        <v>1</v>
      </c>
    </row>
    <row r="199" spans="2:10">
      <c r="B199" t="s">
        <v>99</v>
      </c>
      <c r="D199">
        <v>850</v>
      </c>
      <c r="E199" t="e">
        <v>#DIV/0!</v>
      </c>
      <c r="F199" t="e">
        <v>#DIV/0!</v>
      </c>
      <c r="G199">
        <v>1700</v>
      </c>
      <c r="H199">
        <v>1</v>
      </c>
      <c r="I199">
        <v>1</v>
      </c>
      <c r="J199">
        <v>1</v>
      </c>
    </row>
    <row r="200" spans="3:10">
      <c r="C200" t="s">
        <v>128</v>
      </c>
      <c r="D200">
        <v>850</v>
      </c>
      <c r="E200" t="e">
        <v>#DIV/0!</v>
      </c>
      <c r="F200" t="e">
        <v>#DIV/0!</v>
      </c>
      <c r="G200">
        <v>1700</v>
      </c>
      <c r="H200">
        <v>1</v>
      </c>
      <c r="I200">
        <v>1</v>
      </c>
      <c r="J200">
        <v>1</v>
      </c>
    </row>
    <row r="201" spans="2:10">
      <c r="B201" t="s">
        <v>32</v>
      </c>
      <c r="D201">
        <v>880</v>
      </c>
      <c r="E201" t="e">
        <v>#DIV/0!</v>
      </c>
      <c r="F201" t="e">
        <v>#DIV/0!</v>
      </c>
      <c r="G201">
        <v>1350</v>
      </c>
      <c r="H201">
        <v>1</v>
      </c>
      <c r="I201">
        <v>1</v>
      </c>
      <c r="J201">
        <v>1</v>
      </c>
    </row>
    <row r="202" spans="3:10">
      <c r="C202" t="s">
        <v>129</v>
      </c>
      <c r="D202">
        <v>880</v>
      </c>
      <c r="E202" t="e">
        <v>#DIV/0!</v>
      </c>
      <c r="F202" t="e">
        <v>#DIV/0!</v>
      </c>
      <c r="G202">
        <v>1350</v>
      </c>
      <c r="H202">
        <v>1</v>
      </c>
      <c r="I202">
        <v>1</v>
      </c>
      <c r="J202">
        <v>1</v>
      </c>
    </row>
    <row r="203" spans="2:10">
      <c r="B203" t="s">
        <v>102</v>
      </c>
      <c r="D203">
        <v>899</v>
      </c>
      <c r="E203" t="e">
        <v>#DIV/0!</v>
      </c>
      <c r="F203" t="e">
        <v>#DIV/0!</v>
      </c>
      <c r="G203">
        <v>1699</v>
      </c>
      <c r="H203">
        <v>1</v>
      </c>
      <c r="I203">
        <v>1</v>
      </c>
      <c r="J203">
        <v>1</v>
      </c>
    </row>
    <row r="204" spans="3:10">
      <c r="C204" t="s">
        <v>128</v>
      </c>
      <c r="D204">
        <v>899</v>
      </c>
      <c r="E204" t="e">
        <v>#DIV/0!</v>
      </c>
      <c r="F204" t="e">
        <v>#DIV/0!</v>
      </c>
      <c r="G204">
        <v>1699</v>
      </c>
      <c r="H204">
        <v>1</v>
      </c>
      <c r="I204">
        <v>1</v>
      </c>
      <c r="J204">
        <v>1</v>
      </c>
    </row>
    <row r="205" spans="2:10">
      <c r="B205" t="s">
        <v>9</v>
      </c>
      <c r="D205">
        <v>950</v>
      </c>
      <c r="E205" t="e">
        <v>#DIV/0!</v>
      </c>
      <c r="F205" t="e">
        <v>#DIV/0!</v>
      </c>
      <c r="G205">
        <v>1525</v>
      </c>
      <c r="H205">
        <v>1</v>
      </c>
      <c r="I205">
        <v>1</v>
      </c>
      <c r="J205">
        <v>1</v>
      </c>
    </row>
    <row r="206" spans="3:10">
      <c r="C206" t="s">
        <v>129</v>
      </c>
      <c r="D206">
        <v>950</v>
      </c>
      <c r="E206" t="e">
        <v>#DIV/0!</v>
      </c>
      <c r="F206" t="e">
        <v>#DIV/0!</v>
      </c>
      <c r="G206">
        <v>1525</v>
      </c>
      <c r="H206">
        <v>1</v>
      </c>
      <c r="I206">
        <v>1</v>
      </c>
      <c r="J206">
        <v>1</v>
      </c>
    </row>
    <row r="207" spans="2:10">
      <c r="B207" t="s">
        <v>83</v>
      </c>
      <c r="D207">
        <v>968</v>
      </c>
      <c r="E207" t="e">
        <v>#DIV/0!</v>
      </c>
      <c r="F207" t="e">
        <v>#DIV/0!</v>
      </c>
      <c r="G207">
        <v>1814</v>
      </c>
      <c r="H207">
        <v>1</v>
      </c>
      <c r="I207">
        <v>1</v>
      </c>
      <c r="J207">
        <v>1</v>
      </c>
    </row>
    <row r="208" spans="3:10">
      <c r="C208" t="s">
        <v>128</v>
      </c>
      <c r="D208">
        <v>968</v>
      </c>
      <c r="E208" t="e">
        <v>#DIV/0!</v>
      </c>
      <c r="F208" t="e">
        <v>#DIV/0!</v>
      </c>
      <c r="G208">
        <v>1814</v>
      </c>
      <c r="H208">
        <v>1</v>
      </c>
      <c r="I208">
        <v>1</v>
      </c>
      <c r="J208">
        <v>1</v>
      </c>
    </row>
    <row r="209" spans="2:10">
      <c r="B209" t="s">
        <v>90</v>
      </c>
      <c r="D209">
        <v>979</v>
      </c>
      <c r="E209" t="e">
        <v>#DIV/0!</v>
      </c>
      <c r="F209" t="e">
        <v>#DIV/0!</v>
      </c>
      <c r="G209">
        <v>1920</v>
      </c>
      <c r="H209">
        <v>1</v>
      </c>
      <c r="I209">
        <v>1</v>
      </c>
      <c r="J209">
        <v>1</v>
      </c>
    </row>
    <row r="210" spans="3:10">
      <c r="C210" t="s">
        <v>128</v>
      </c>
      <c r="D210">
        <v>979</v>
      </c>
      <c r="E210" t="e">
        <v>#DIV/0!</v>
      </c>
      <c r="F210" t="e">
        <v>#DIV/0!</v>
      </c>
      <c r="G210">
        <v>1920</v>
      </c>
      <c r="H210">
        <v>1</v>
      </c>
      <c r="I210">
        <v>1</v>
      </c>
      <c r="J210">
        <v>1</v>
      </c>
    </row>
    <row r="211" spans="2:10">
      <c r="B211" t="s">
        <v>41</v>
      </c>
      <c r="D211">
        <v>980</v>
      </c>
      <c r="E211" t="e">
        <v>#DIV/0!</v>
      </c>
      <c r="F211" t="e">
        <v>#DIV/0!</v>
      </c>
      <c r="G211">
        <v>1490</v>
      </c>
      <c r="H211">
        <v>1</v>
      </c>
      <c r="I211">
        <v>1</v>
      </c>
      <c r="J211">
        <v>1</v>
      </c>
    </row>
    <row r="212" spans="3:10">
      <c r="C212" t="s">
        <v>129</v>
      </c>
      <c r="D212">
        <v>980</v>
      </c>
      <c r="E212" t="e">
        <v>#DIV/0!</v>
      </c>
      <c r="F212" t="e">
        <v>#DIV/0!</v>
      </c>
      <c r="G212">
        <v>1490</v>
      </c>
      <c r="H212">
        <v>1</v>
      </c>
      <c r="I212">
        <v>1</v>
      </c>
      <c r="J212">
        <v>1</v>
      </c>
    </row>
    <row r="213" spans="2:10">
      <c r="B213" t="s">
        <v>16</v>
      </c>
      <c r="D213">
        <v>988</v>
      </c>
      <c r="E213" t="e">
        <v>#DIV/0!</v>
      </c>
      <c r="F213" t="e">
        <v>#DIV/0!</v>
      </c>
      <c r="G213">
        <v>1580</v>
      </c>
      <c r="H213">
        <v>1</v>
      </c>
      <c r="I213">
        <v>1</v>
      </c>
      <c r="J213">
        <v>1</v>
      </c>
    </row>
    <row r="214" spans="3:10">
      <c r="C214" t="s">
        <v>129</v>
      </c>
      <c r="D214">
        <v>988</v>
      </c>
      <c r="E214" t="e">
        <v>#DIV/0!</v>
      </c>
      <c r="F214" t="e">
        <v>#DIV/0!</v>
      </c>
      <c r="G214">
        <v>1580</v>
      </c>
      <c r="H214">
        <v>1</v>
      </c>
      <c r="I214">
        <v>1</v>
      </c>
      <c r="J214">
        <v>1</v>
      </c>
    </row>
    <row r="215" spans="2:10">
      <c r="B215" t="s">
        <v>20</v>
      </c>
      <c r="D215">
        <v>990</v>
      </c>
      <c r="E215" t="e">
        <v>#DIV/0!</v>
      </c>
      <c r="F215" t="e">
        <v>#DIV/0!</v>
      </c>
      <c r="G215">
        <v>1500</v>
      </c>
      <c r="H215">
        <v>1</v>
      </c>
      <c r="I215">
        <v>1</v>
      </c>
      <c r="J215">
        <v>1</v>
      </c>
    </row>
    <row r="216" spans="3:10">
      <c r="C216" t="s">
        <v>129</v>
      </c>
      <c r="D216">
        <v>990</v>
      </c>
      <c r="E216" t="e">
        <v>#DIV/0!</v>
      </c>
      <c r="F216" t="e">
        <v>#DIV/0!</v>
      </c>
      <c r="G216">
        <v>1500</v>
      </c>
      <c r="H216">
        <v>1</v>
      </c>
      <c r="I216">
        <v>1</v>
      </c>
      <c r="J216">
        <v>1</v>
      </c>
    </row>
    <row r="217" spans="2:10">
      <c r="B217" t="s">
        <v>76</v>
      </c>
      <c r="D217">
        <v>990</v>
      </c>
      <c r="E217" t="e">
        <v>#DIV/0!</v>
      </c>
      <c r="F217" t="e">
        <v>#DIV/0!</v>
      </c>
      <c r="G217">
        <v>1814</v>
      </c>
      <c r="H217">
        <v>1</v>
      </c>
      <c r="I217">
        <v>1</v>
      </c>
      <c r="J217">
        <v>1</v>
      </c>
    </row>
    <row r="218" spans="3:10">
      <c r="C218" t="s">
        <v>128</v>
      </c>
      <c r="D218">
        <v>990</v>
      </c>
      <c r="E218" t="e">
        <v>#DIV/0!</v>
      </c>
      <c r="F218" t="e">
        <v>#DIV/0!</v>
      </c>
      <c r="G218">
        <v>1814</v>
      </c>
      <c r="H218">
        <v>1</v>
      </c>
      <c r="I218">
        <v>1</v>
      </c>
      <c r="J218">
        <v>1</v>
      </c>
    </row>
    <row r="219" spans="2:10">
      <c r="B219" t="s">
        <v>28</v>
      </c>
      <c r="D219">
        <v>998</v>
      </c>
      <c r="E219" t="e">
        <v>#DIV/0!</v>
      </c>
      <c r="F219" t="e">
        <v>#DIV/0!</v>
      </c>
      <c r="G219">
        <v>1966</v>
      </c>
      <c r="H219">
        <v>1</v>
      </c>
      <c r="I219">
        <v>1</v>
      </c>
      <c r="J219">
        <v>1</v>
      </c>
    </row>
    <row r="220" spans="3:10">
      <c r="C220" t="s">
        <v>128</v>
      </c>
      <c r="D220">
        <v>998</v>
      </c>
      <c r="E220" t="e">
        <v>#DIV/0!</v>
      </c>
      <c r="F220" t="e">
        <v>#DIV/0!</v>
      </c>
      <c r="G220">
        <v>1966</v>
      </c>
      <c r="H220">
        <v>1</v>
      </c>
      <c r="I220">
        <v>1</v>
      </c>
      <c r="J220">
        <v>1</v>
      </c>
    </row>
    <row r="221" spans="2:10">
      <c r="B221" t="s">
        <v>56</v>
      </c>
      <c r="D221">
        <v>999</v>
      </c>
      <c r="E221" t="e">
        <v>#DIV/0!</v>
      </c>
      <c r="F221" t="e">
        <v>#DIV/0!</v>
      </c>
      <c r="G221">
        <v>2000</v>
      </c>
      <c r="H221">
        <v>1</v>
      </c>
      <c r="I221">
        <v>1</v>
      </c>
      <c r="J221">
        <v>1</v>
      </c>
    </row>
    <row r="222" spans="3:10">
      <c r="C222" t="s">
        <v>128</v>
      </c>
      <c r="D222">
        <v>999</v>
      </c>
      <c r="E222" t="e">
        <v>#DIV/0!</v>
      </c>
      <c r="F222" t="e">
        <v>#DIV/0!</v>
      </c>
      <c r="G222">
        <v>2000</v>
      </c>
      <c r="H222">
        <v>1</v>
      </c>
      <c r="I222">
        <v>1</v>
      </c>
      <c r="J222">
        <v>1</v>
      </c>
    </row>
    <row r="223" spans="2:10">
      <c r="B223" t="s">
        <v>77</v>
      </c>
      <c r="D223">
        <v>1000</v>
      </c>
      <c r="E223" t="e">
        <v>#DIV/0!</v>
      </c>
      <c r="F223" t="e">
        <v>#DIV/0!</v>
      </c>
      <c r="G223">
        <v>2000</v>
      </c>
      <c r="H223">
        <v>1</v>
      </c>
      <c r="I223">
        <v>1</v>
      </c>
      <c r="J223">
        <v>1</v>
      </c>
    </row>
    <row r="224" spans="3:10">
      <c r="C224" t="s">
        <v>128</v>
      </c>
      <c r="D224">
        <v>1000</v>
      </c>
      <c r="E224" t="e">
        <v>#DIV/0!</v>
      </c>
      <c r="F224" t="e">
        <v>#DIV/0!</v>
      </c>
      <c r="G224">
        <v>2000</v>
      </c>
      <c r="H224">
        <v>1</v>
      </c>
      <c r="I224">
        <v>1</v>
      </c>
      <c r="J224">
        <v>1</v>
      </c>
    </row>
    <row r="225" spans="2:10">
      <c r="B225" t="s">
        <v>109</v>
      </c>
      <c r="D225">
        <v>1080</v>
      </c>
      <c r="E225" t="e">
        <v>#DIV/0!</v>
      </c>
      <c r="F225" t="e">
        <v>#DIV/0!</v>
      </c>
      <c r="G225">
        <v>1874</v>
      </c>
      <c r="H225">
        <v>1</v>
      </c>
      <c r="I225">
        <v>1</v>
      </c>
      <c r="J225">
        <v>1</v>
      </c>
    </row>
    <row r="226" spans="3:10">
      <c r="C226" t="s">
        <v>128</v>
      </c>
      <c r="D226">
        <v>1080</v>
      </c>
      <c r="E226" t="e">
        <v>#DIV/0!</v>
      </c>
      <c r="F226" t="e">
        <v>#DIV/0!</v>
      </c>
      <c r="G226">
        <v>1874</v>
      </c>
      <c r="H226">
        <v>1</v>
      </c>
      <c r="I226">
        <v>1</v>
      </c>
      <c r="J226">
        <v>1</v>
      </c>
    </row>
    <row r="227" spans="2:10">
      <c r="B227" t="s">
        <v>114</v>
      </c>
      <c r="D227">
        <v>1150</v>
      </c>
      <c r="E227" t="e">
        <v>#DIV/0!</v>
      </c>
      <c r="F227" t="e">
        <v>#DIV/0!</v>
      </c>
      <c r="G227">
        <v>1737</v>
      </c>
      <c r="H227">
        <v>1</v>
      </c>
      <c r="I227">
        <v>1</v>
      </c>
      <c r="J227">
        <v>1</v>
      </c>
    </row>
    <row r="228" spans="3:10">
      <c r="C228" t="s">
        <v>129</v>
      </c>
      <c r="D228">
        <v>1150</v>
      </c>
      <c r="E228" t="e">
        <v>#DIV/0!</v>
      </c>
      <c r="F228" t="e">
        <v>#DIV/0!</v>
      </c>
      <c r="G228">
        <v>1737</v>
      </c>
      <c r="H228">
        <v>1</v>
      </c>
      <c r="I228">
        <v>1</v>
      </c>
      <c r="J228">
        <v>1</v>
      </c>
    </row>
    <row r="229" spans="2:10">
      <c r="B229" t="s">
        <v>89</v>
      </c>
      <c r="D229">
        <v>1189</v>
      </c>
      <c r="E229" t="e">
        <v>#DIV/0!</v>
      </c>
      <c r="F229" t="e">
        <v>#DIV/0!</v>
      </c>
      <c r="G229">
        <v>2199</v>
      </c>
      <c r="H229">
        <v>1</v>
      </c>
      <c r="I229">
        <v>1</v>
      </c>
      <c r="J229">
        <v>1</v>
      </c>
    </row>
    <row r="230" spans="3:10">
      <c r="C230" t="s">
        <v>128</v>
      </c>
      <c r="D230">
        <v>1189</v>
      </c>
      <c r="E230" t="e">
        <v>#DIV/0!</v>
      </c>
      <c r="F230" t="e">
        <v>#DIV/0!</v>
      </c>
      <c r="G230">
        <v>2199</v>
      </c>
      <c r="H230">
        <v>1</v>
      </c>
      <c r="I230">
        <v>1</v>
      </c>
      <c r="J230">
        <v>1</v>
      </c>
    </row>
    <row r="231" spans="2:10">
      <c r="B231" t="s">
        <v>57</v>
      </c>
      <c r="D231">
        <v>1190</v>
      </c>
      <c r="E231" t="e">
        <v>#DIV/0!</v>
      </c>
      <c r="F231" t="e">
        <v>#DIV/0!</v>
      </c>
      <c r="G231">
        <v>1785</v>
      </c>
      <c r="H231">
        <v>1</v>
      </c>
      <c r="I231">
        <v>1</v>
      </c>
      <c r="J231">
        <v>1</v>
      </c>
    </row>
    <row r="232" spans="3:10">
      <c r="C232" t="s">
        <v>129</v>
      </c>
      <c r="D232">
        <v>1190</v>
      </c>
      <c r="E232" t="e">
        <v>#DIV/0!</v>
      </c>
      <c r="F232" t="e">
        <v>#DIV/0!</v>
      </c>
      <c r="G232">
        <v>1785</v>
      </c>
      <c r="H232">
        <v>1</v>
      </c>
      <c r="I232">
        <v>1</v>
      </c>
      <c r="J232">
        <v>1</v>
      </c>
    </row>
    <row r="233" spans="2:10">
      <c r="B233" t="s">
        <v>115</v>
      </c>
      <c r="D233">
        <v>1190</v>
      </c>
      <c r="E233" t="e">
        <v>#DIV/0!</v>
      </c>
      <c r="F233" t="e">
        <v>#DIV/0!</v>
      </c>
      <c r="G233">
        <v>1810</v>
      </c>
      <c r="H233">
        <v>1</v>
      </c>
      <c r="I233">
        <v>1</v>
      </c>
      <c r="J233">
        <v>1</v>
      </c>
    </row>
    <row r="234" spans="3:10">
      <c r="C234" t="s">
        <v>129</v>
      </c>
      <c r="D234">
        <v>1190</v>
      </c>
      <c r="E234" t="e">
        <v>#DIV/0!</v>
      </c>
      <c r="F234" t="e">
        <v>#DIV/0!</v>
      </c>
      <c r="G234">
        <v>1810</v>
      </c>
      <c r="H234">
        <v>1</v>
      </c>
      <c r="I234">
        <v>1</v>
      </c>
      <c r="J234">
        <v>1</v>
      </c>
    </row>
    <row r="235" spans="2:10">
      <c r="B235" t="s">
        <v>103</v>
      </c>
      <c r="D235">
        <v>1200</v>
      </c>
      <c r="E235" t="e">
        <v>#DIV/0!</v>
      </c>
      <c r="F235" t="e">
        <v>#DIV/0!</v>
      </c>
      <c r="G235">
        <v>2400</v>
      </c>
      <c r="H235">
        <v>1</v>
      </c>
      <c r="I235">
        <v>1</v>
      </c>
      <c r="J235">
        <v>1</v>
      </c>
    </row>
    <row r="236" spans="3:10">
      <c r="C236" t="s">
        <v>128</v>
      </c>
      <c r="D236">
        <v>1200</v>
      </c>
      <c r="E236" t="e">
        <v>#DIV/0!</v>
      </c>
      <c r="F236" t="e">
        <v>#DIV/0!</v>
      </c>
      <c r="G236">
        <v>2400</v>
      </c>
      <c r="H236">
        <v>1</v>
      </c>
      <c r="I236">
        <v>1</v>
      </c>
      <c r="J236">
        <v>1</v>
      </c>
    </row>
    <row r="237" spans="2:10">
      <c r="B237" t="s">
        <v>59</v>
      </c>
      <c r="D237">
        <v>1200</v>
      </c>
      <c r="E237" t="e">
        <v>#DIV/0!</v>
      </c>
      <c r="F237" t="e">
        <v>#DIV/0!</v>
      </c>
      <c r="G237">
        <v>1950</v>
      </c>
      <c r="H237">
        <v>1</v>
      </c>
      <c r="I237">
        <v>1</v>
      </c>
      <c r="J237">
        <v>1</v>
      </c>
    </row>
    <row r="238" spans="3:10">
      <c r="C238" t="s">
        <v>129</v>
      </c>
      <c r="D238">
        <v>1200</v>
      </c>
      <c r="E238" t="e">
        <v>#DIV/0!</v>
      </c>
      <c r="F238" t="e">
        <v>#DIV/0!</v>
      </c>
      <c r="G238">
        <v>1950</v>
      </c>
      <c r="H238">
        <v>1</v>
      </c>
      <c r="I238">
        <v>1</v>
      </c>
      <c r="J238">
        <v>1</v>
      </c>
    </row>
    <row r="239" spans="2:10">
      <c r="B239" t="s">
        <v>75</v>
      </c>
      <c r="D239">
        <v>1220</v>
      </c>
      <c r="E239" t="e">
        <v>#DIV/0!</v>
      </c>
      <c r="F239" t="e">
        <v>#DIV/0!</v>
      </c>
      <c r="G239">
        <v>1555</v>
      </c>
      <c r="H239">
        <v>1</v>
      </c>
      <c r="I239">
        <v>1</v>
      </c>
      <c r="J239">
        <v>1</v>
      </c>
    </row>
    <row r="240" spans="3:10">
      <c r="C240" t="s">
        <v>129</v>
      </c>
      <c r="D240">
        <v>1220</v>
      </c>
      <c r="E240" t="e">
        <v>#DIV/0!</v>
      </c>
      <c r="F240" t="e">
        <v>#DIV/0!</v>
      </c>
      <c r="G240">
        <v>1555</v>
      </c>
      <c r="H240">
        <v>1</v>
      </c>
      <c r="I240">
        <v>1</v>
      </c>
      <c r="J240">
        <v>1</v>
      </c>
    </row>
    <row r="241" spans="2:10">
      <c r="B241" t="s">
        <v>17</v>
      </c>
      <c r="D241">
        <v>1274</v>
      </c>
      <c r="E241" t="e">
        <v>#DIV/0!</v>
      </c>
      <c r="F241" t="e">
        <v>#DIV/0!</v>
      </c>
      <c r="G241">
        <v>2800</v>
      </c>
      <c r="H241">
        <v>1</v>
      </c>
      <c r="I241">
        <v>1</v>
      </c>
      <c r="J241">
        <v>1</v>
      </c>
    </row>
    <row r="242" spans="3:10">
      <c r="C242" t="s">
        <v>128</v>
      </c>
      <c r="D242">
        <v>1274</v>
      </c>
      <c r="E242" t="e">
        <v>#DIV/0!</v>
      </c>
      <c r="F242" t="e">
        <v>#DIV/0!</v>
      </c>
      <c r="G242">
        <v>2800</v>
      </c>
      <c r="H242">
        <v>1</v>
      </c>
      <c r="I242">
        <v>1</v>
      </c>
      <c r="J242">
        <v>1</v>
      </c>
    </row>
    <row r="243" spans="2:10">
      <c r="B243" t="s">
        <v>100</v>
      </c>
      <c r="D243">
        <v>1300</v>
      </c>
      <c r="E243" t="e">
        <v>#DIV/0!</v>
      </c>
      <c r="F243" t="e">
        <v>#DIV/0!</v>
      </c>
      <c r="G243">
        <v>2500</v>
      </c>
      <c r="H243">
        <v>1</v>
      </c>
      <c r="I243">
        <v>1</v>
      </c>
      <c r="J243">
        <v>1</v>
      </c>
    </row>
    <row r="244" spans="3:10">
      <c r="C244" t="s">
        <v>128</v>
      </c>
      <c r="D244">
        <v>1300</v>
      </c>
      <c r="E244" t="e">
        <v>#DIV/0!</v>
      </c>
      <c r="F244" t="e">
        <v>#DIV/0!</v>
      </c>
      <c r="G244">
        <v>2500</v>
      </c>
      <c r="H244">
        <v>1</v>
      </c>
      <c r="I244">
        <v>1</v>
      </c>
      <c r="J244">
        <v>1</v>
      </c>
    </row>
    <row r="245" spans="2:10">
      <c r="B245" t="s">
        <v>37</v>
      </c>
      <c r="D245">
        <v>1350</v>
      </c>
      <c r="E245" t="e">
        <v>#DIV/0!</v>
      </c>
      <c r="F245" t="e">
        <v>#DIV/0!</v>
      </c>
      <c r="G245">
        <v>1990</v>
      </c>
      <c r="H245">
        <v>1</v>
      </c>
      <c r="I245">
        <v>1</v>
      </c>
      <c r="J245">
        <v>1</v>
      </c>
    </row>
    <row r="246" spans="3:10">
      <c r="C246" t="s">
        <v>129</v>
      </c>
      <c r="D246">
        <v>1350</v>
      </c>
      <c r="E246" t="e">
        <v>#DIV/0!</v>
      </c>
      <c r="F246" t="e">
        <v>#DIV/0!</v>
      </c>
      <c r="G246">
        <v>1990</v>
      </c>
      <c r="H246">
        <v>1</v>
      </c>
      <c r="I246">
        <v>1</v>
      </c>
      <c r="J246">
        <v>1</v>
      </c>
    </row>
    <row r="247" spans="2:10">
      <c r="B247" t="s">
        <v>111</v>
      </c>
      <c r="D247">
        <v>1420</v>
      </c>
      <c r="E247" t="e">
        <v>#DIV/0!</v>
      </c>
      <c r="F247" t="e">
        <v>#DIV/0!</v>
      </c>
      <c r="G247">
        <v>2420</v>
      </c>
      <c r="H247">
        <v>1</v>
      </c>
      <c r="I247">
        <v>1</v>
      </c>
      <c r="J247">
        <v>1</v>
      </c>
    </row>
    <row r="248" spans="3:10">
      <c r="C248" t="s">
        <v>128</v>
      </c>
      <c r="D248">
        <v>1420</v>
      </c>
      <c r="E248" t="e">
        <v>#DIV/0!</v>
      </c>
      <c r="F248" t="e">
        <v>#DIV/0!</v>
      </c>
      <c r="G248">
        <v>2420</v>
      </c>
      <c r="H248">
        <v>1</v>
      </c>
      <c r="I248">
        <v>1</v>
      </c>
      <c r="J248">
        <v>1</v>
      </c>
    </row>
    <row r="249" spans="2:10">
      <c r="B249" t="s">
        <v>64</v>
      </c>
      <c r="D249">
        <v>1459</v>
      </c>
      <c r="E249" t="e">
        <v>#DIV/0!</v>
      </c>
      <c r="F249" t="e">
        <v>#DIV/0!</v>
      </c>
      <c r="G249">
        <v>1499</v>
      </c>
      <c r="H249">
        <v>1</v>
      </c>
      <c r="I249">
        <v>1</v>
      </c>
      <c r="J249">
        <v>1</v>
      </c>
    </row>
    <row r="250" spans="3:10">
      <c r="C250" t="s">
        <v>130</v>
      </c>
      <c r="D250">
        <v>1459</v>
      </c>
      <c r="E250" t="e">
        <v>#DIV/0!</v>
      </c>
      <c r="F250" t="e">
        <v>#DIV/0!</v>
      </c>
      <c r="G250">
        <v>1499</v>
      </c>
      <c r="H250">
        <v>1</v>
      </c>
      <c r="I250">
        <v>1</v>
      </c>
      <c r="J250">
        <v>1</v>
      </c>
    </row>
    <row r="251" spans="2:10">
      <c r="B251" t="s">
        <v>91</v>
      </c>
      <c r="D251">
        <v>1460</v>
      </c>
      <c r="E251" t="e">
        <v>#DIV/0!</v>
      </c>
      <c r="F251" t="e">
        <v>#DIV/0!</v>
      </c>
      <c r="G251">
        <v>2290</v>
      </c>
      <c r="H251">
        <v>1</v>
      </c>
      <c r="I251">
        <v>1</v>
      </c>
      <c r="J251">
        <v>1</v>
      </c>
    </row>
    <row r="252" spans="3:10">
      <c r="C252" t="s">
        <v>129</v>
      </c>
      <c r="D252">
        <v>1460</v>
      </c>
      <c r="E252" t="e">
        <v>#DIV/0!</v>
      </c>
      <c r="F252" t="e">
        <v>#DIV/0!</v>
      </c>
      <c r="G252">
        <v>2290</v>
      </c>
      <c r="H252">
        <v>1</v>
      </c>
      <c r="I252">
        <v>1</v>
      </c>
      <c r="J252">
        <v>1</v>
      </c>
    </row>
    <row r="253" spans="2:10">
      <c r="B253" t="s">
        <v>105</v>
      </c>
      <c r="D253">
        <v>1462</v>
      </c>
      <c r="E253" t="e">
        <v>#DIV/0!</v>
      </c>
      <c r="F253" t="e">
        <v>#DIV/0!</v>
      </c>
      <c r="G253">
        <v>1499</v>
      </c>
      <c r="H253">
        <v>1</v>
      </c>
      <c r="I253">
        <v>1</v>
      </c>
      <c r="J253">
        <v>1</v>
      </c>
    </row>
    <row r="254" spans="3:10">
      <c r="C254" t="s">
        <v>130</v>
      </c>
      <c r="D254">
        <v>1462</v>
      </c>
      <c r="E254" t="e">
        <v>#DIV/0!</v>
      </c>
      <c r="F254" t="e">
        <v>#DIV/0!</v>
      </c>
      <c r="G254">
        <v>1499</v>
      </c>
      <c r="H254">
        <v>1</v>
      </c>
      <c r="I254">
        <v>1</v>
      </c>
      <c r="J254">
        <v>1</v>
      </c>
    </row>
    <row r="255" spans="2:10">
      <c r="B255" t="s">
        <v>94</v>
      </c>
      <c r="D255">
        <v>1466</v>
      </c>
      <c r="E255" t="e">
        <v>#DIV/0!</v>
      </c>
      <c r="F255" t="e">
        <v>#DIV/0!</v>
      </c>
      <c r="G255">
        <v>1699</v>
      </c>
      <c r="H255">
        <v>1</v>
      </c>
      <c r="I255">
        <v>1</v>
      </c>
      <c r="J255">
        <v>1</v>
      </c>
    </row>
    <row r="256" spans="3:10">
      <c r="C256" t="s">
        <v>130</v>
      </c>
      <c r="D256">
        <v>1466</v>
      </c>
      <c r="E256" t="e">
        <v>#DIV/0!</v>
      </c>
      <c r="F256" t="e">
        <v>#DIV/0!</v>
      </c>
      <c r="G256">
        <v>1699</v>
      </c>
      <c r="H256">
        <v>1</v>
      </c>
      <c r="I256">
        <v>1</v>
      </c>
      <c r="J256">
        <v>1</v>
      </c>
    </row>
    <row r="257" spans="2:10">
      <c r="B257" t="s">
        <v>97</v>
      </c>
      <c r="D257">
        <v>1468</v>
      </c>
      <c r="E257" t="e">
        <v>#DIV/0!</v>
      </c>
      <c r="F257" t="e">
        <v>#DIV/0!</v>
      </c>
      <c r="G257">
        <v>1699</v>
      </c>
      <c r="H257">
        <v>1</v>
      </c>
      <c r="I257">
        <v>1</v>
      </c>
      <c r="J257">
        <v>1</v>
      </c>
    </row>
    <row r="258" spans="3:10">
      <c r="C258" t="s">
        <v>130</v>
      </c>
      <c r="D258">
        <v>1468</v>
      </c>
      <c r="E258" t="e">
        <v>#DIV/0!</v>
      </c>
      <c r="F258" t="e">
        <v>#DIV/0!</v>
      </c>
      <c r="G258">
        <v>1699</v>
      </c>
      <c r="H258">
        <v>1</v>
      </c>
      <c r="I258">
        <v>1</v>
      </c>
      <c r="J258">
        <v>1</v>
      </c>
    </row>
    <row r="259" spans="2:10">
      <c r="B259" t="s">
        <v>104</v>
      </c>
      <c r="D259">
        <v>1526</v>
      </c>
      <c r="E259" t="e">
        <v>#DIV/0!</v>
      </c>
      <c r="F259" t="e">
        <v>#DIV/0!</v>
      </c>
      <c r="G259">
        <v>1660</v>
      </c>
      <c r="H259">
        <v>1</v>
      </c>
      <c r="I259">
        <v>1</v>
      </c>
      <c r="J259">
        <v>1</v>
      </c>
    </row>
    <row r="260" spans="3:10">
      <c r="C260" t="s">
        <v>130</v>
      </c>
      <c r="D260">
        <v>1526</v>
      </c>
      <c r="E260" t="e">
        <v>#DIV/0!</v>
      </c>
      <c r="F260" t="e">
        <v>#DIV/0!</v>
      </c>
      <c r="G260">
        <v>1660</v>
      </c>
      <c r="H260">
        <v>1</v>
      </c>
      <c r="I260">
        <v>1</v>
      </c>
      <c r="J260">
        <v>1</v>
      </c>
    </row>
    <row r="261" spans="2:10">
      <c r="B261" t="s">
        <v>84</v>
      </c>
      <c r="D261">
        <v>1570</v>
      </c>
      <c r="E261" t="e">
        <v>#DIV/0!</v>
      </c>
      <c r="F261" t="e">
        <v>#DIV/0!</v>
      </c>
      <c r="G261">
        <v>2988</v>
      </c>
      <c r="H261">
        <v>1</v>
      </c>
      <c r="I261">
        <v>1</v>
      </c>
      <c r="J261">
        <v>1</v>
      </c>
    </row>
    <row r="262" spans="3:10">
      <c r="C262" t="s">
        <v>128</v>
      </c>
      <c r="D262">
        <v>1570</v>
      </c>
      <c r="E262" t="e">
        <v>#DIV/0!</v>
      </c>
      <c r="F262" t="e">
        <v>#DIV/0!</v>
      </c>
      <c r="G262">
        <v>2988</v>
      </c>
      <c r="H262">
        <v>1</v>
      </c>
      <c r="I262">
        <v>1</v>
      </c>
      <c r="J262">
        <v>1</v>
      </c>
    </row>
    <row r="263" spans="2:10">
      <c r="B263" t="s">
        <v>12</v>
      </c>
      <c r="D263">
        <v>1580</v>
      </c>
      <c r="E263" t="e">
        <v>#DIV/0!</v>
      </c>
      <c r="F263" t="e">
        <v>#DIV/0!</v>
      </c>
      <c r="G263">
        <v>2499</v>
      </c>
      <c r="H263">
        <v>1</v>
      </c>
      <c r="I263">
        <v>1</v>
      </c>
      <c r="J263">
        <v>1</v>
      </c>
    </row>
    <row r="264" spans="3:10">
      <c r="C264" t="s">
        <v>129</v>
      </c>
      <c r="D264">
        <v>1580</v>
      </c>
      <c r="E264" t="e">
        <v>#DIV/0!</v>
      </c>
      <c r="F264" t="e">
        <v>#DIV/0!</v>
      </c>
      <c r="G264">
        <v>2499</v>
      </c>
      <c r="H264">
        <v>1</v>
      </c>
      <c r="I264">
        <v>1</v>
      </c>
      <c r="J264">
        <v>1</v>
      </c>
    </row>
    <row r="265" spans="2:10">
      <c r="B265" t="s">
        <v>18</v>
      </c>
      <c r="D265">
        <v>1600</v>
      </c>
      <c r="E265" t="e">
        <v>#DIV/0!</v>
      </c>
      <c r="F265" t="e">
        <v>#DIV/0!</v>
      </c>
      <c r="G265">
        <v>2929</v>
      </c>
      <c r="H265">
        <v>1</v>
      </c>
      <c r="I265">
        <v>1</v>
      </c>
      <c r="J265">
        <v>1</v>
      </c>
    </row>
    <row r="266" spans="3:10">
      <c r="C266" t="s">
        <v>128</v>
      </c>
      <c r="D266">
        <v>1600</v>
      </c>
      <c r="E266" t="e">
        <v>#DIV/0!</v>
      </c>
      <c r="F266" t="e">
        <v>#DIV/0!</v>
      </c>
      <c r="G266">
        <v>2929</v>
      </c>
      <c r="H266">
        <v>1</v>
      </c>
      <c r="I266">
        <v>1</v>
      </c>
      <c r="J266">
        <v>1</v>
      </c>
    </row>
    <row r="267" spans="2:10">
      <c r="B267" t="s">
        <v>45</v>
      </c>
      <c r="D267">
        <v>1620</v>
      </c>
      <c r="E267" t="e">
        <v>#DIV/0!</v>
      </c>
      <c r="F267" t="e">
        <v>#DIV/0!</v>
      </c>
      <c r="G267">
        <v>2690</v>
      </c>
      <c r="H267">
        <v>1</v>
      </c>
      <c r="I267">
        <v>1</v>
      </c>
      <c r="J267">
        <v>1</v>
      </c>
    </row>
    <row r="268" spans="3:10">
      <c r="C268" t="s">
        <v>129</v>
      </c>
      <c r="D268">
        <v>1620</v>
      </c>
      <c r="E268" t="e">
        <v>#DIV/0!</v>
      </c>
      <c r="F268" t="e">
        <v>#DIV/0!</v>
      </c>
      <c r="G268">
        <v>2690</v>
      </c>
      <c r="H268">
        <v>1</v>
      </c>
      <c r="I268">
        <v>1</v>
      </c>
      <c r="J268">
        <v>1</v>
      </c>
    </row>
    <row r="269" spans="2:10">
      <c r="B269" t="s">
        <v>33</v>
      </c>
      <c r="D269">
        <v>1650</v>
      </c>
      <c r="E269" t="e">
        <v>#DIV/0!</v>
      </c>
      <c r="F269" t="e">
        <v>#DIV/0!</v>
      </c>
      <c r="G269">
        <v>2150</v>
      </c>
      <c r="H269">
        <v>1</v>
      </c>
      <c r="I269">
        <v>1</v>
      </c>
      <c r="J269">
        <v>1</v>
      </c>
    </row>
    <row r="270" spans="3:10">
      <c r="C270" t="s">
        <v>129</v>
      </c>
      <c r="D270">
        <v>1650</v>
      </c>
      <c r="E270" t="e">
        <v>#DIV/0!</v>
      </c>
      <c r="F270" t="e">
        <v>#DIV/0!</v>
      </c>
      <c r="G270">
        <v>2150</v>
      </c>
      <c r="H270">
        <v>1</v>
      </c>
      <c r="I270">
        <v>1</v>
      </c>
      <c r="J270">
        <v>1</v>
      </c>
    </row>
    <row r="271" spans="2:10">
      <c r="B271" t="s">
        <v>116</v>
      </c>
      <c r="D271">
        <v>1658</v>
      </c>
      <c r="E271" t="e">
        <v>#DIV/0!</v>
      </c>
      <c r="F271" t="e">
        <v>#DIV/0!</v>
      </c>
      <c r="G271">
        <v>1699</v>
      </c>
      <c r="H271">
        <v>1</v>
      </c>
      <c r="I271">
        <v>1</v>
      </c>
      <c r="J271">
        <v>1</v>
      </c>
    </row>
    <row r="272" spans="3:10">
      <c r="C272" t="s">
        <v>130</v>
      </c>
      <c r="D272">
        <v>1658</v>
      </c>
      <c r="E272" t="e">
        <v>#DIV/0!</v>
      </c>
      <c r="F272" t="e">
        <v>#DIV/0!</v>
      </c>
      <c r="G272">
        <v>1699</v>
      </c>
      <c r="H272">
        <v>1</v>
      </c>
      <c r="I272">
        <v>1</v>
      </c>
      <c r="J272">
        <v>1</v>
      </c>
    </row>
    <row r="273" spans="2:10">
      <c r="B273" t="s">
        <v>62</v>
      </c>
      <c r="D273">
        <v>1660</v>
      </c>
      <c r="E273" t="e">
        <v>#DIV/0!</v>
      </c>
      <c r="F273" t="e">
        <v>#DIV/0!</v>
      </c>
      <c r="G273">
        <v>1699</v>
      </c>
      <c r="H273">
        <v>1</v>
      </c>
      <c r="I273">
        <v>1</v>
      </c>
      <c r="J273">
        <v>1</v>
      </c>
    </row>
    <row r="274" spans="3:10">
      <c r="C274" t="s">
        <v>130</v>
      </c>
      <c r="D274">
        <v>1660</v>
      </c>
      <c r="E274" t="e">
        <v>#DIV/0!</v>
      </c>
      <c r="F274" t="e">
        <v>#DIV/0!</v>
      </c>
      <c r="G274">
        <v>1699</v>
      </c>
      <c r="H274">
        <v>1</v>
      </c>
      <c r="I274">
        <v>1</v>
      </c>
      <c r="J274">
        <v>1</v>
      </c>
    </row>
    <row r="275" spans="2:10">
      <c r="B275" t="s">
        <v>92</v>
      </c>
      <c r="D275">
        <v>1666</v>
      </c>
      <c r="E275" t="e">
        <v>#DIV/0!</v>
      </c>
      <c r="F275" t="e">
        <v>#DIV/0!</v>
      </c>
      <c r="G275">
        <v>1699</v>
      </c>
      <c r="H275">
        <v>1</v>
      </c>
      <c r="I275">
        <v>1</v>
      </c>
      <c r="J275">
        <v>1</v>
      </c>
    </row>
    <row r="276" spans="3:10">
      <c r="C276" t="s">
        <v>130</v>
      </c>
      <c r="D276">
        <v>1666</v>
      </c>
      <c r="E276" t="e">
        <v>#DIV/0!</v>
      </c>
      <c r="F276" t="e">
        <v>#DIV/0!</v>
      </c>
      <c r="G276">
        <v>1699</v>
      </c>
      <c r="H276">
        <v>1</v>
      </c>
      <c r="I276">
        <v>1</v>
      </c>
      <c r="J276">
        <v>1</v>
      </c>
    </row>
    <row r="277" spans="2:10">
      <c r="B277" t="s">
        <v>23</v>
      </c>
      <c r="D277">
        <v>1680</v>
      </c>
      <c r="E277" t="e">
        <v>#DIV/0!</v>
      </c>
      <c r="F277" t="e">
        <v>#DIV/0!</v>
      </c>
      <c r="G277">
        <v>2499</v>
      </c>
      <c r="H277">
        <v>1</v>
      </c>
      <c r="I277">
        <v>1</v>
      </c>
      <c r="J277">
        <v>1</v>
      </c>
    </row>
    <row r="278" spans="3:10">
      <c r="C278" t="s">
        <v>129</v>
      </c>
      <c r="D278">
        <v>1680</v>
      </c>
      <c r="E278" t="e">
        <v>#DIV/0!</v>
      </c>
      <c r="F278" t="e">
        <v>#DIV/0!</v>
      </c>
      <c r="G278">
        <v>2499</v>
      </c>
      <c r="H278">
        <v>1</v>
      </c>
      <c r="I278">
        <v>1</v>
      </c>
      <c r="J278">
        <v>1</v>
      </c>
    </row>
    <row r="279" spans="2:10">
      <c r="B279" t="s">
        <v>87</v>
      </c>
      <c r="D279">
        <v>1732</v>
      </c>
      <c r="E279" t="e">
        <v>#DIV/0!</v>
      </c>
      <c r="F279" t="e">
        <v>#DIV/0!</v>
      </c>
      <c r="G279">
        <v>1799</v>
      </c>
      <c r="H279">
        <v>1</v>
      </c>
      <c r="I279">
        <v>1</v>
      </c>
      <c r="J279">
        <v>1</v>
      </c>
    </row>
    <row r="280" spans="3:10">
      <c r="C280" t="s">
        <v>130</v>
      </c>
      <c r="D280">
        <v>1732</v>
      </c>
      <c r="E280" t="e">
        <v>#DIV/0!</v>
      </c>
      <c r="F280" t="e">
        <v>#DIV/0!</v>
      </c>
      <c r="G280">
        <v>1799</v>
      </c>
      <c r="H280">
        <v>1</v>
      </c>
      <c r="I280">
        <v>1</v>
      </c>
      <c r="J280">
        <v>1</v>
      </c>
    </row>
    <row r="281" spans="2:10">
      <c r="B281" t="s">
        <v>13</v>
      </c>
      <c r="D281">
        <v>1740</v>
      </c>
      <c r="E281" t="e">
        <v>#DIV/0!</v>
      </c>
      <c r="F281" t="e">
        <v>#DIV/0!</v>
      </c>
      <c r="G281">
        <v>2356</v>
      </c>
      <c r="H281">
        <v>1</v>
      </c>
      <c r="I281">
        <v>1</v>
      </c>
      <c r="J281">
        <v>1</v>
      </c>
    </row>
    <row r="282" spans="3:10">
      <c r="C282" t="s">
        <v>129</v>
      </c>
      <c r="D282">
        <v>1740</v>
      </c>
      <c r="E282" t="e">
        <v>#DIV/0!</v>
      </c>
      <c r="F282" t="e">
        <v>#DIV/0!</v>
      </c>
      <c r="G282">
        <v>2356</v>
      </c>
      <c r="H282">
        <v>1</v>
      </c>
      <c r="I282">
        <v>1</v>
      </c>
      <c r="J282">
        <v>1</v>
      </c>
    </row>
    <row r="283" spans="2:10">
      <c r="B283" t="s">
        <v>38</v>
      </c>
      <c r="D283">
        <v>1758</v>
      </c>
      <c r="E283" t="e">
        <v>#DIV/0!</v>
      </c>
      <c r="F283" t="e">
        <v>#DIV/0!</v>
      </c>
      <c r="G283">
        <v>2499</v>
      </c>
      <c r="H283">
        <v>1</v>
      </c>
      <c r="I283">
        <v>1</v>
      </c>
      <c r="J283">
        <v>1</v>
      </c>
    </row>
    <row r="284" spans="3:10">
      <c r="C284" t="s">
        <v>129</v>
      </c>
      <c r="D284">
        <v>1758</v>
      </c>
      <c r="E284" t="e">
        <v>#DIV/0!</v>
      </c>
      <c r="F284" t="e">
        <v>#DIV/0!</v>
      </c>
      <c r="G284">
        <v>2499</v>
      </c>
      <c r="H284">
        <v>1</v>
      </c>
      <c r="I284">
        <v>1</v>
      </c>
      <c r="J284">
        <v>1</v>
      </c>
    </row>
    <row r="285" spans="2:10">
      <c r="B285" t="s">
        <v>117</v>
      </c>
      <c r="D285">
        <v>1768</v>
      </c>
      <c r="E285" t="e">
        <v>#DIV/0!</v>
      </c>
      <c r="F285" t="e">
        <v>#DIV/0!</v>
      </c>
      <c r="G285">
        <v>1799</v>
      </c>
      <c r="H285">
        <v>1</v>
      </c>
      <c r="I285">
        <v>1</v>
      </c>
      <c r="J285">
        <v>1</v>
      </c>
    </row>
    <row r="286" spans="3:10">
      <c r="C286" t="s">
        <v>130</v>
      </c>
      <c r="D286">
        <v>1768</v>
      </c>
      <c r="E286" t="e">
        <v>#DIV/0!</v>
      </c>
      <c r="F286" t="e">
        <v>#DIV/0!</v>
      </c>
      <c r="G286">
        <v>1799</v>
      </c>
      <c r="H286">
        <v>1</v>
      </c>
      <c r="I286">
        <v>1</v>
      </c>
      <c r="J286">
        <v>1</v>
      </c>
    </row>
    <row r="287" spans="2:10">
      <c r="B287" t="s">
        <v>42</v>
      </c>
      <c r="D287">
        <v>1820</v>
      </c>
      <c r="E287" t="e">
        <v>#DIV/0!</v>
      </c>
      <c r="F287" t="e">
        <v>#DIV/0!</v>
      </c>
      <c r="G287">
        <v>3490</v>
      </c>
      <c r="H287">
        <v>1</v>
      </c>
      <c r="I287">
        <v>1</v>
      </c>
      <c r="J287">
        <v>1</v>
      </c>
    </row>
    <row r="288" spans="3:10">
      <c r="C288" t="s">
        <v>128</v>
      </c>
      <c r="D288">
        <v>1820</v>
      </c>
      <c r="E288" t="e">
        <v>#DIV/0!</v>
      </c>
      <c r="F288" t="e">
        <v>#DIV/0!</v>
      </c>
      <c r="G288">
        <v>3490</v>
      </c>
      <c r="H288">
        <v>1</v>
      </c>
      <c r="I288">
        <v>1</v>
      </c>
      <c r="J288">
        <v>1</v>
      </c>
    </row>
    <row r="289" spans="2:10">
      <c r="B289" t="s">
        <v>30</v>
      </c>
      <c r="D289">
        <v>1860</v>
      </c>
      <c r="E289" t="e">
        <v>#DIV/0!</v>
      </c>
      <c r="F289" t="e">
        <v>#DIV/0!</v>
      </c>
      <c r="G289">
        <v>3220</v>
      </c>
      <c r="H289">
        <v>1</v>
      </c>
      <c r="I289">
        <v>1</v>
      </c>
      <c r="J289">
        <v>1</v>
      </c>
    </row>
    <row r="290" spans="3:10">
      <c r="C290" t="s">
        <v>128</v>
      </c>
      <c r="D290">
        <v>1860</v>
      </c>
      <c r="E290" t="e">
        <v>#DIV/0!</v>
      </c>
      <c r="F290" t="e">
        <v>#DIV/0!</v>
      </c>
      <c r="G290">
        <v>3220</v>
      </c>
      <c r="H290">
        <v>1</v>
      </c>
      <c r="I290">
        <v>1</v>
      </c>
      <c r="J290">
        <v>1</v>
      </c>
    </row>
    <row r="291" spans="2:10">
      <c r="B291" t="s">
        <v>112</v>
      </c>
      <c r="D291">
        <v>1875</v>
      </c>
      <c r="E291" t="e">
        <v>#DIV/0!</v>
      </c>
      <c r="F291" t="e">
        <v>#DIV/0!</v>
      </c>
      <c r="G291">
        <v>1899</v>
      </c>
      <c r="H291">
        <v>1</v>
      </c>
      <c r="I291">
        <v>1</v>
      </c>
      <c r="J291">
        <v>1</v>
      </c>
    </row>
    <row r="292" spans="3:10">
      <c r="C292" t="s">
        <v>130</v>
      </c>
      <c r="D292">
        <v>1875</v>
      </c>
      <c r="E292" t="e">
        <v>#DIV/0!</v>
      </c>
      <c r="F292" t="e">
        <v>#DIV/0!</v>
      </c>
      <c r="G292">
        <v>1899</v>
      </c>
      <c r="H292">
        <v>1</v>
      </c>
      <c r="I292">
        <v>1</v>
      </c>
      <c r="J292">
        <v>1</v>
      </c>
    </row>
    <row r="293" spans="2:10">
      <c r="B293" t="s">
        <v>43</v>
      </c>
      <c r="D293">
        <v>1940</v>
      </c>
      <c r="E293" t="e">
        <v>#DIV/0!</v>
      </c>
      <c r="F293" t="e">
        <v>#DIV/0!</v>
      </c>
      <c r="G293">
        <v>2650</v>
      </c>
      <c r="H293">
        <v>1</v>
      </c>
      <c r="I293">
        <v>1</v>
      </c>
      <c r="J293">
        <v>1</v>
      </c>
    </row>
    <row r="294" spans="3:10">
      <c r="C294" t="s">
        <v>129</v>
      </c>
      <c r="D294">
        <v>1940</v>
      </c>
      <c r="E294" t="e">
        <v>#DIV/0!</v>
      </c>
      <c r="F294" t="e">
        <v>#DIV/0!</v>
      </c>
      <c r="G294">
        <v>2650</v>
      </c>
      <c r="H294">
        <v>1</v>
      </c>
      <c r="I294">
        <v>1</v>
      </c>
      <c r="J294">
        <v>1</v>
      </c>
    </row>
    <row r="295" spans="2:10">
      <c r="B295" t="s">
        <v>44</v>
      </c>
      <c r="D295">
        <v>1980</v>
      </c>
      <c r="E295" t="e">
        <v>#DIV/0!</v>
      </c>
      <c r="F295" t="e">
        <v>#DIV/0!</v>
      </c>
      <c r="G295">
        <v>2699</v>
      </c>
      <c r="H295">
        <v>1</v>
      </c>
      <c r="I295">
        <v>1</v>
      </c>
      <c r="J295">
        <v>1</v>
      </c>
    </row>
    <row r="296" spans="3:10">
      <c r="C296" t="s">
        <v>129</v>
      </c>
      <c r="D296">
        <v>1980</v>
      </c>
      <c r="E296" t="e">
        <v>#DIV/0!</v>
      </c>
      <c r="F296" t="e">
        <v>#DIV/0!</v>
      </c>
      <c r="G296">
        <v>2699</v>
      </c>
      <c r="H296">
        <v>1</v>
      </c>
      <c r="I296">
        <v>1</v>
      </c>
      <c r="J296">
        <v>1</v>
      </c>
    </row>
    <row r="297" spans="2:10">
      <c r="B297" t="s">
        <v>26</v>
      </c>
      <c r="D297">
        <v>2025</v>
      </c>
      <c r="E297" t="e">
        <v>#DIV/0!</v>
      </c>
      <c r="F297" t="e">
        <v>#DIV/0!</v>
      </c>
      <c r="G297">
        <v>3971</v>
      </c>
      <c r="H297">
        <v>1</v>
      </c>
      <c r="I297">
        <v>1</v>
      </c>
      <c r="J297">
        <v>1</v>
      </c>
    </row>
    <row r="298" spans="3:10">
      <c r="C298" t="s">
        <v>128</v>
      </c>
      <c r="D298">
        <v>2025</v>
      </c>
      <c r="E298" t="e">
        <v>#DIV/0!</v>
      </c>
      <c r="F298" t="e">
        <v>#DIV/0!</v>
      </c>
      <c r="G298">
        <v>3971</v>
      </c>
      <c r="H298">
        <v>1</v>
      </c>
      <c r="I298">
        <v>1</v>
      </c>
      <c r="J298">
        <v>1</v>
      </c>
    </row>
    <row r="299" spans="2:10">
      <c r="B299" t="s">
        <v>34</v>
      </c>
      <c r="D299">
        <v>2048</v>
      </c>
      <c r="E299" t="e">
        <v>#DIV/0!</v>
      </c>
      <c r="F299" t="e">
        <v>#DIV/0!</v>
      </c>
      <c r="G299">
        <v>4500</v>
      </c>
      <c r="H299">
        <v>1</v>
      </c>
      <c r="I299">
        <v>1</v>
      </c>
      <c r="J299">
        <v>1</v>
      </c>
    </row>
    <row r="300" spans="3:10">
      <c r="C300" t="s">
        <v>128</v>
      </c>
      <c r="D300">
        <v>2048</v>
      </c>
      <c r="E300" t="e">
        <v>#DIV/0!</v>
      </c>
      <c r="F300" t="e">
        <v>#DIV/0!</v>
      </c>
      <c r="G300">
        <v>4500</v>
      </c>
      <c r="H300">
        <v>1</v>
      </c>
      <c r="I300">
        <v>1</v>
      </c>
      <c r="J300">
        <v>1</v>
      </c>
    </row>
    <row r="301" spans="2:10">
      <c r="B301" t="s">
        <v>72</v>
      </c>
      <c r="D301">
        <v>2115</v>
      </c>
      <c r="E301" t="e">
        <v>#DIV/0!</v>
      </c>
      <c r="F301" t="e">
        <v>#DIV/0!</v>
      </c>
      <c r="G301">
        <v>4700</v>
      </c>
      <c r="H301">
        <v>1</v>
      </c>
      <c r="I301">
        <v>1</v>
      </c>
      <c r="J301">
        <v>1</v>
      </c>
    </row>
    <row r="302" spans="3:10">
      <c r="C302" t="s">
        <v>128</v>
      </c>
      <c r="D302">
        <v>2115</v>
      </c>
      <c r="E302" t="e">
        <v>#DIV/0!</v>
      </c>
      <c r="F302" t="e">
        <v>#DIV/0!</v>
      </c>
      <c r="G302">
        <v>4700</v>
      </c>
      <c r="H302">
        <v>1</v>
      </c>
      <c r="I302">
        <v>1</v>
      </c>
      <c r="J302">
        <v>1</v>
      </c>
    </row>
    <row r="303" spans="2:10">
      <c r="B303" t="s">
        <v>55</v>
      </c>
      <c r="D303">
        <v>2132</v>
      </c>
      <c r="E303" t="e">
        <v>#DIV/0!</v>
      </c>
      <c r="F303" t="e">
        <v>#DIV/0!</v>
      </c>
      <c r="G303">
        <v>2169</v>
      </c>
      <c r="H303">
        <v>1</v>
      </c>
      <c r="I303">
        <v>1</v>
      </c>
      <c r="J303">
        <v>1</v>
      </c>
    </row>
    <row r="304" spans="3:10">
      <c r="C304" t="s">
        <v>130</v>
      </c>
      <c r="D304">
        <v>2132</v>
      </c>
      <c r="E304" t="e">
        <v>#DIV/0!</v>
      </c>
      <c r="F304" t="e">
        <v>#DIV/0!</v>
      </c>
      <c r="G304">
        <v>2169</v>
      </c>
      <c r="H304">
        <v>1</v>
      </c>
      <c r="I304">
        <v>1</v>
      </c>
      <c r="J304">
        <v>1</v>
      </c>
    </row>
    <row r="305" spans="2:10">
      <c r="B305" t="s">
        <v>70</v>
      </c>
      <c r="D305">
        <v>2170</v>
      </c>
      <c r="E305" t="e">
        <v>#DIV/0!</v>
      </c>
      <c r="F305" t="e">
        <v>#DIV/0!</v>
      </c>
      <c r="G305">
        <v>2500</v>
      </c>
      <c r="H305">
        <v>1</v>
      </c>
      <c r="I305">
        <v>1</v>
      </c>
      <c r="J305">
        <v>1</v>
      </c>
    </row>
    <row r="306" spans="3:10">
      <c r="C306" t="s">
        <v>130</v>
      </c>
      <c r="D306">
        <v>2170</v>
      </c>
      <c r="E306" t="e">
        <v>#DIV/0!</v>
      </c>
      <c r="F306" t="e">
        <v>#DIV/0!</v>
      </c>
      <c r="G306">
        <v>2500</v>
      </c>
      <c r="H306">
        <v>1</v>
      </c>
      <c r="I306">
        <v>1</v>
      </c>
      <c r="J306">
        <v>1</v>
      </c>
    </row>
    <row r="307" spans="2:10">
      <c r="B307" t="s">
        <v>11</v>
      </c>
      <c r="D307">
        <v>2199</v>
      </c>
      <c r="E307" t="e">
        <v>#DIV/0!</v>
      </c>
      <c r="F307" t="e">
        <v>#DIV/0!</v>
      </c>
      <c r="G307">
        <v>2923</v>
      </c>
      <c r="H307">
        <v>1</v>
      </c>
      <c r="I307">
        <v>1</v>
      </c>
      <c r="J307">
        <v>1</v>
      </c>
    </row>
    <row r="308" spans="3:10">
      <c r="C308" t="s">
        <v>129</v>
      </c>
      <c r="D308">
        <v>2199</v>
      </c>
      <c r="E308" t="e">
        <v>#DIV/0!</v>
      </c>
      <c r="F308" t="e">
        <v>#DIV/0!</v>
      </c>
      <c r="G308">
        <v>2923</v>
      </c>
      <c r="H308">
        <v>1</v>
      </c>
      <c r="I308">
        <v>1</v>
      </c>
      <c r="J308">
        <v>1</v>
      </c>
    </row>
    <row r="309" spans="2:10">
      <c r="B309" t="s">
        <v>39</v>
      </c>
      <c r="D309">
        <v>2200</v>
      </c>
      <c r="E309" t="e">
        <v>#DIV/0!</v>
      </c>
      <c r="F309" t="e">
        <v>#DIV/0!</v>
      </c>
      <c r="G309">
        <v>4080</v>
      </c>
      <c r="H309">
        <v>1</v>
      </c>
      <c r="I309">
        <v>1</v>
      </c>
      <c r="J309">
        <v>1</v>
      </c>
    </row>
    <row r="310" spans="3:10">
      <c r="C310" t="s">
        <v>128</v>
      </c>
      <c r="D310">
        <v>2200</v>
      </c>
      <c r="E310" t="e">
        <v>#DIV/0!</v>
      </c>
      <c r="F310" t="e">
        <v>#DIV/0!</v>
      </c>
      <c r="G310">
        <v>4080</v>
      </c>
      <c r="H310">
        <v>1</v>
      </c>
      <c r="I310">
        <v>1</v>
      </c>
      <c r="J310">
        <v>1</v>
      </c>
    </row>
    <row r="311" spans="2:10">
      <c r="B311" t="s">
        <v>80</v>
      </c>
      <c r="D311">
        <v>2300</v>
      </c>
      <c r="E311" t="e">
        <v>#DIV/0!</v>
      </c>
      <c r="F311" t="e">
        <v>#DIV/0!</v>
      </c>
      <c r="G311">
        <v>3240</v>
      </c>
      <c r="H311">
        <v>1</v>
      </c>
      <c r="I311">
        <v>1</v>
      </c>
      <c r="J311">
        <v>1</v>
      </c>
    </row>
    <row r="312" spans="3:10">
      <c r="C312" t="s">
        <v>129</v>
      </c>
      <c r="D312">
        <v>2300</v>
      </c>
      <c r="E312" t="e">
        <v>#DIV/0!</v>
      </c>
      <c r="F312" t="e">
        <v>#DIV/0!</v>
      </c>
      <c r="G312">
        <v>3240</v>
      </c>
      <c r="H312">
        <v>1</v>
      </c>
      <c r="I312">
        <v>1</v>
      </c>
      <c r="J312">
        <v>1</v>
      </c>
    </row>
    <row r="313" spans="2:10">
      <c r="B313" t="s">
        <v>15</v>
      </c>
      <c r="D313">
        <v>2319</v>
      </c>
      <c r="E313" t="e">
        <v>#DIV/0!</v>
      </c>
      <c r="F313" t="e">
        <v>#DIV/0!</v>
      </c>
      <c r="G313">
        <v>3032</v>
      </c>
      <c r="H313">
        <v>1</v>
      </c>
      <c r="I313">
        <v>1</v>
      </c>
      <c r="J313">
        <v>1</v>
      </c>
    </row>
    <row r="314" spans="3:10">
      <c r="C314" t="s">
        <v>129</v>
      </c>
      <c r="D314">
        <v>2319</v>
      </c>
      <c r="E314" t="e">
        <v>#DIV/0!</v>
      </c>
      <c r="F314" t="e">
        <v>#DIV/0!</v>
      </c>
      <c r="G314">
        <v>3032</v>
      </c>
      <c r="H314">
        <v>1</v>
      </c>
      <c r="I314">
        <v>1</v>
      </c>
      <c r="J314">
        <v>1</v>
      </c>
    </row>
    <row r="315" spans="2:10">
      <c r="B315" t="s">
        <v>51</v>
      </c>
      <c r="D315">
        <v>2750</v>
      </c>
      <c r="E315" t="e">
        <v>#DIV/0!</v>
      </c>
      <c r="F315" t="e">
        <v>#DIV/0!</v>
      </c>
      <c r="G315">
        <v>4471</v>
      </c>
      <c r="H315">
        <v>1</v>
      </c>
      <c r="I315">
        <v>1</v>
      </c>
      <c r="J315">
        <v>1</v>
      </c>
    </row>
    <row r="316" spans="3:10">
      <c r="C316" t="s">
        <v>129</v>
      </c>
      <c r="D316">
        <v>2750</v>
      </c>
      <c r="E316" t="e">
        <v>#DIV/0!</v>
      </c>
      <c r="F316" t="e">
        <v>#DIV/0!</v>
      </c>
      <c r="G316">
        <v>4471</v>
      </c>
      <c r="H316">
        <v>1</v>
      </c>
      <c r="I316">
        <v>1</v>
      </c>
      <c r="J316">
        <v>1</v>
      </c>
    </row>
    <row r="317" spans="2:10">
      <c r="B317" t="s">
        <v>69</v>
      </c>
      <c r="D317">
        <v>2799</v>
      </c>
      <c r="E317" t="e">
        <v>#DIV/0!</v>
      </c>
      <c r="F317" t="e">
        <v>#DIV/0!</v>
      </c>
      <c r="G317">
        <v>3810</v>
      </c>
      <c r="H317">
        <v>1</v>
      </c>
      <c r="I317">
        <v>1</v>
      </c>
      <c r="J317">
        <v>1</v>
      </c>
    </row>
    <row r="318" spans="3:10">
      <c r="C318" t="s">
        <v>129</v>
      </c>
      <c r="D318">
        <v>2799</v>
      </c>
      <c r="E318" t="e">
        <v>#DIV/0!</v>
      </c>
      <c r="F318" t="e">
        <v>#DIV/0!</v>
      </c>
      <c r="G318">
        <v>3810</v>
      </c>
      <c r="H318">
        <v>1</v>
      </c>
      <c r="I318">
        <v>1</v>
      </c>
      <c r="J318">
        <v>1</v>
      </c>
    </row>
    <row r="319" spans="2:10">
      <c r="B319" t="s">
        <v>36</v>
      </c>
      <c r="D319">
        <v>2880</v>
      </c>
      <c r="E319" t="e">
        <v>#DIV/0!</v>
      </c>
      <c r="F319" t="e">
        <v>#DIV/0!</v>
      </c>
      <c r="G319">
        <v>3520</v>
      </c>
      <c r="H319">
        <v>1</v>
      </c>
      <c r="I319">
        <v>1</v>
      </c>
      <c r="J319">
        <v>1</v>
      </c>
    </row>
    <row r="320" spans="3:10">
      <c r="C320" t="s">
        <v>130</v>
      </c>
      <c r="D320">
        <v>2880</v>
      </c>
      <c r="E320" t="e">
        <v>#DIV/0!</v>
      </c>
      <c r="F320" t="e">
        <v>#DIV/0!</v>
      </c>
      <c r="G320">
        <v>3520</v>
      </c>
      <c r="H320">
        <v>1</v>
      </c>
      <c r="I320">
        <v>1</v>
      </c>
      <c r="J320">
        <v>1</v>
      </c>
    </row>
    <row r="321" spans="2:10">
      <c r="B321" t="s">
        <v>14</v>
      </c>
      <c r="D321">
        <v>2999</v>
      </c>
      <c r="E321" t="e">
        <v>#DIV/0!</v>
      </c>
      <c r="F321" t="e">
        <v>#DIV/0!</v>
      </c>
      <c r="G321">
        <v>3290</v>
      </c>
      <c r="H321">
        <v>1</v>
      </c>
      <c r="I321">
        <v>1</v>
      </c>
      <c r="J321">
        <v>1</v>
      </c>
    </row>
    <row r="322" spans="3:10">
      <c r="C322" t="s">
        <v>130</v>
      </c>
      <c r="D322">
        <v>2999</v>
      </c>
      <c r="E322" t="e">
        <v>#DIV/0!</v>
      </c>
      <c r="F322" t="e">
        <v>#DIV/0!</v>
      </c>
      <c r="G322">
        <v>3290</v>
      </c>
      <c r="H322">
        <v>1</v>
      </c>
      <c r="I322">
        <v>1</v>
      </c>
      <c r="J322">
        <v>1</v>
      </c>
    </row>
    <row r="323" spans="2:10">
      <c r="B323" t="s">
        <v>27</v>
      </c>
      <c r="D323">
        <v>2999</v>
      </c>
      <c r="E323" t="e">
        <v>#DIV/0!</v>
      </c>
      <c r="F323" t="e">
        <v>#DIV/0!</v>
      </c>
      <c r="G323">
        <v>3699</v>
      </c>
      <c r="H323">
        <v>1</v>
      </c>
      <c r="I323">
        <v>1</v>
      </c>
      <c r="J323">
        <v>1</v>
      </c>
    </row>
    <row r="324" spans="3:10">
      <c r="C324" t="s">
        <v>130</v>
      </c>
      <c r="D324">
        <v>2999</v>
      </c>
      <c r="E324" t="e">
        <v>#DIV/0!</v>
      </c>
      <c r="F324" t="e">
        <v>#DIV/0!</v>
      </c>
      <c r="G324">
        <v>3699</v>
      </c>
      <c r="H324">
        <v>1</v>
      </c>
      <c r="I324">
        <v>1</v>
      </c>
      <c r="J324">
        <v>1</v>
      </c>
    </row>
    <row r="325" spans="2:10">
      <c r="B325" t="s">
        <v>107</v>
      </c>
      <c r="D325">
        <v>3546</v>
      </c>
      <c r="E325" t="e">
        <v>#DIV/0!</v>
      </c>
      <c r="F325" t="e">
        <v>#DIV/0!</v>
      </c>
      <c r="G325">
        <v>3699</v>
      </c>
      <c r="H325">
        <v>1</v>
      </c>
      <c r="I325">
        <v>1</v>
      </c>
      <c r="J325">
        <v>1</v>
      </c>
    </row>
    <row r="326" spans="3:10">
      <c r="C326" t="s">
        <v>130</v>
      </c>
      <c r="D326">
        <v>3546</v>
      </c>
      <c r="E326" t="e">
        <v>#DIV/0!</v>
      </c>
      <c r="F326" t="e">
        <v>#DIV/0!</v>
      </c>
      <c r="G326">
        <v>3699</v>
      </c>
      <c r="H326">
        <v>1</v>
      </c>
      <c r="I326">
        <v>1</v>
      </c>
      <c r="J326">
        <v>1</v>
      </c>
    </row>
    <row r="327" spans="2:10">
      <c r="B327" t="s">
        <v>110</v>
      </c>
      <c r="D327">
        <v>3640</v>
      </c>
      <c r="E327" t="e">
        <v>#DIV/0!</v>
      </c>
      <c r="F327" t="e">
        <v>#DIV/0!</v>
      </c>
      <c r="G327">
        <v>4588</v>
      </c>
      <c r="H327">
        <v>1</v>
      </c>
      <c r="I327">
        <v>1</v>
      </c>
      <c r="J327">
        <v>1</v>
      </c>
    </row>
    <row r="328" spans="3:10">
      <c r="C328" t="s">
        <v>129</v>
      </c>
      <c r="D328">
        <v>3640</v>
      </c>
      <c r="E328" t="e">
        <v>#DIV/0!</v>
      </c>
      <c r="F328" t="e">
        <v>#DIV/0!</v>
      </c>
      <c r="G328">
        <v>4588</v>
      </c>
      <c r="H328">
        <v>1</v>
      </c>
      <c r="I328">
        <v>1</v>
      </c>
      <c r="J328">
        <v>1</v>
      </c>
    </row>
    <row r="329" spans="2:10">
      <c r="B329" t="s">
        <v>78</v>
      </c>
      <c r="D329">
        <v>3750</v>
      </c>
      <c r="E329" t="e">
        <v>#DIV/0!</v>
      </c>
      <c r="F329" t="e">
        <v>#DIV/0!</v>
      </c>
      <c r="G329">
        <v>6143</v>
      </c>
      <c r="H329">
        <v>1</v>
      </c>
      <c r="I329">
        <v>1</v>
      </c>
      <c r="J329">
        <v>1</v>
      </c>
    </row>
    <row r="330" spans="3:10">
      <c r="C330" t="s">
        <v>129</v>
      </c>
      <c r="D330">
        <v>3750</v>
      </c>
      <c r="E330" t="e">
        <v>#DIV/0!</v>
      </c>
      <c r="F330" t="e">
        <v>#DIV/0!</v>
      </c>
      <c r="G330">
        <v>6143</v>
      </c>
      <c r="H330">
        <v>1</v>
      </c>
      <c r="I330">
        <v>1</v>
      </c>
      <c r="J330">
        <v>1</v>
      </c>
    </row>
    <row r="331" spans="2:10">
      <c r="B331" t="s">
        <v>48</v>
      </c>
      <c r="D331" t="e">
        <v>#DIV/0!</v>
      </c>
      <c r="E331" t="e">
        <v>#DIV/0!</v>
      </c>
      <c r="F331" t="e">
        <v>#DIV/0!</v>
      </c>
      <c r="G331" t="e">
        <v>#DIV/0!</v>
      </c>
      <c r="H331">
        <v>1</v>
      </c>
      <c r="I331">
        <v>1</v>
      </c>
      <c r="J331">
        <v>1</v>
      </c>
    </row>
    <row r="332" spans="3:10">
      <c r="C332" t="s">
        <v>129</v>
      </c>
      <c r="D332" t="e">
        <v>#DIV/0!</v>
      </c>
      <c r="E332" t="e">
        <v>#DIV/0!</v>
      </c>
      <c r="F332" t="e">
        <v>#DIV/0!</v>
      </c>
      <c r="G332" t="e">
        <v>#DIV/0!</v>
      </c>
      <c r="H332">
        <v>1</v>
      </c>
      <c r="I332">
        <v>1</v>
      </c>
      <c r="J332">
        <v>1</v>
      </c>
    </row>
    <row r="333" spans="2:10">
      <c r="B333" t="s">
        <v>131</v>
      </c>
      <c r="D333">
        <v>1181.36936936937</v>
      </c>
      <c r="E333" t="e">
        <v>#DIV/0!</v>
      </c>
      <c r="F333" t="e">
        <v>#DIV/0!</v>
      </c>
      <c r="G333">
        <v>1803.0990990991</v>
      </c>
      <c r="H333">
        <v>112</v>
      </c>
      <c r="I333">
        <v>112</v>
      </c>
      <c r="J333">
        <v>112</v>
      </c>
    </row>
  </sheetData>
  <pageMargins left="0.75" right="0.75" top="1" bottom="1" header="0.5" footer="0.5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Excel_jumia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clinto</cp:lastModifiedBy>
  <dcterms:created xsi:type="dcterms:W3CDTF">2026-03-23T11:43:00Z</dcterms:created>
  <dcterms:modified xsi:type="dcterms:W3CDTF">2026-03-25T19:24:35Z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C72F2C6EB8054763A2CD46141E7DEF63_13</vt:lpwstr>
  </property>
  <property fmtid="{D5CDD505-2E9C-101B-9397-08002B2CF9AE}" pid="3" name="KSOProductBuildVer">
    <vt:lpwstr>1033-12.2.0.23196</vt:lpwstr>
  </property>
</Properties>
</file>